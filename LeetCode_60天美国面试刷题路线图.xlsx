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e31f9079ce459b" /></Relationships>
</file>

<file path=xl/workbook.xml><?xml version="1.0" encoding="utf-8"?>
<x:workbook xmlns:x="http://schemas.openxmlformats.org/spreadsheetml/2006/main">
  <x:sheets>
    <x:sheet xmlns:r="http://schemas.openxmlformats.org/officeDocument/2006/relationships" name="使用说明" sheetId="1" r:id="R0e58628286d84c10"/>
    <x:sheet xmlns:r="http://schemas.openxmlformats.org/officeDocument/2006/relationships" name="60天路线图" sheetId="2" r:id="R2452e823a80945e6"/>
    <x:sheet xmlns:r="http://schemas.openxmlformats.org/officeDocument/2006/relationships" name="每日总览" sheetId="3" r:id="Rd2e767fa30754b59"/>
    <x:sheet xmlns:r="http://schemas.openxmlformats.org/officeDocument/2006/relationships" name="核心题库" sheetId="4" r:id="Rad359d6ea4394fb2"/>
    <x:sheet xmlns:r="http://schemas.openxmlformats.org/officeDocument/2006/relationships" name="题型覆盖" sheetId="5" r:id="Rd89462fc69c64860"/>
    <x:sheet xmlns:r="http://schemas.openxmlformats.org/officeDocument/2006/relationships" name="错题复盘" sheetId="6" r:id="R8618881133dc4fac"/>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quot; 小时&quot;"/>
    <x:numFmt numFmtId="201" formatCode="0&quot; 分钟&quot;"/>
    <x:numFmt numFmtId="202" formatCode="0%"/>
    <x:numFmt numFmtId="203" formatCode="0.00"/>
    <x:numFmt numFmtId="204" formatCode="yyyy-mm-dd"/>
  </x:numFmts>
  <x:fonts count="8">
    <x:font>
      <x:sz val="11"/>
      <x:name val="Carlito"/>
    </x:font>
    <x:font>
      <x:b/>
      <x:sz val="20"/>
      <x:color rgb="FFFFFFFF"/>
      <x:name val="Carlito"/>
    </x:font>
    <x:font>
      <x:sz val="10"/>
      <x:color rgb="FF17324D"/>
      <x:name val="Carlito"/>
    </x:font>
    <x:font>
      <x:b/>
      <x:sz val="10"/>
      <x:color rgb="FF17324D"/>
      <x:name val="Carlito"/>
    </x:font>
    <x:font>
      <x:b/>
      <x:sz val="15"/>
      <x:color rgb="FF0F766E"/>
      <x:name val="Carlito"/>
    </x:font>
    <x:font>
      <x:b/>
      <x:sz val="12"/>
      <x:color rgb="FFFFFFFF"/>
      <x:name val="Carlito"/>
    </x:font>
    <x:font>
      <x:sz val="10"/>
      <x:color rgb="FF1F2937"/>
      <x:name val="Carlito"/>
    </x:font>
    <x:font>
      <x:b/>
      <x:sz val="10"/>
      <x:color rgb="FFFFFFFF"/>
      <x:name val="Carlito"/>
    </x:font>
  </x:fonts>
  <x:fills count="11">
    <x:fill>
      <x:patternFill patternType="none"/>
    </x:fill>
    <x:fill>
      <x:patternFill patternType="gray125"/>
    </x:fill>
    <x:fill>
      <x:patternFill patternType="solid">
        <x:fgColor rgb="FF17324D"/>
      </x:patternFill>
    </x:fill>
    <x:fill>
      <x:patternFill patternType="solid">
        <x:fgColor rgb="FFE9EFF5"/>
      </x:patternFill>
    </x:fill>
    <x:fill>
      <x:patternFill patternType="solid">
        <x:fgColor rgb="FFEAF2FF"/>
      </x:patternFill>
    </x:fill>
    <x:fill>
      <x:patternFill patternType="solid">
        <x:fgColor rgb="FFFFFFFF"/>
      </x:patternFill>
    </x:fill>
    <x:fill>
      <x:patternFill patternType="solid">
        <x:fgColor rgb="FF0F766E"/>
      </x:patternFill>
    </x:fill>
    <x:fill>
      <x:patternFill patternType="solid">
        <x:fgColor rgb="FFFDECEC"/>
      </x:patternFill>
    </x:fill>
    <x:fill>
      <x:patternFill patternType="solid">
        <x:fgColor rgb="FFFFF3E0"/>
      </x:patternFill>
    </x:fill>
    <x:fill>
      <x:patternFill patternType="solid">
        <x:fgColor rgb="FFFFF8DB"/>
      </x:patternFill>
    </x:fill>
    <x:fill>
      <x:patternFill patternType="solid">
        <x:fgColor rgb="FFEAF7EE"/>
      </x:patternFill>
    </x:fill>
  </x:fills>
  <x:borders count="30">
    <x:border/>
    <x:border/>
    <x:border>
      <x:left/>
      <x:right/>
      <x:top/>
    </x:border>
    <x:border>
      <x:left/>
      <x:right/>
      <x:bottom/>
    </x:border>
    <x:border>
      <x:left/>
      <x:right/>
      <x:top/>
    </x:border>
    <x:border>
      <x:left/>
      <x:right/>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top/>
      <x:bottom/>
    </x:border>
    <x:border>
      <x:top/>
      <x:bottom/>
    </x:border>
    <x:border>
      <x:right/>
      <x:top/>
      <x:bottom/>
    </x:border>
    <x:border>
      <x:left/>
      <x:top/>
      <x:bottom/>
    </x:border>
    <x:border>
      <x:top/>
      <x:bottom/>
    </x:border>
    <x:border>
      <x:right/>
      <x:top/>
      <x:bottom/>
    </x:border>
    <x:border>
      <x:left/>
      <x:right/>
      <x:top/>
      <x:bottom/>
    </x:border>
    <x:border>
      <x:left/>
      <x:right/>
      <x:top/>
      <x:bottom/>
    </x:border>
  </x:borders>
  <x:cellStyleXfs count="1">
    <x:xf numFmtId="0" fontId="0" fillId="0" borderId="0"/>
  </x:cellStyleXfs>
  <x:cellXfs count="2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horizontal="center"/>
    </x:xf>
    <x:xf numFmtId="0" fontId="3" fillId="4" borderId="5" xfId="0" applyNumberFormat="1" applyFont="1" applyFill="1" applyBorder="1" applyAlignment="1">
      <x:alignment horizontal="center"/>
    </x:xf>
    <x:xf numFmtId="0" fontId="3" fillId="4" borderId="4" xfId="0" applyNumberFormat="1" applyFont="1" applyFill="1" applyBorder="1" applyAlignment="1">
      <x:alignment horizontal="center" vertical="center"/>
    </x:xf>
    <x:xf numFmtId="0" fontId="3" fillId="4" borderId="5"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4"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200" fontId="4" fillId="5" borderId="3" xfId="0" applyNumberFormat="1" applyFont="1" applyFill="1" applyBorder="1" applyAlignment="1">
      <x:alignment horizontal="center" vertical="center"/>
    </x:xf>
    <x:xf numFmtId="200" fontId="4" fillId="5" borderId="5" xfId="0" applyNumberFormat="1" applyFont="1" applyFill="1" applyBorder="1" applyAlignment="1">
      <x:alignment horizontal="center" vertical="center"/>
    </x:xf>
    <x:xf numFmtId="201" fontId="4" fillId="5" borderId="3" xfId="0" applyNumberFormat="1" applyFont="1" applyFill="1" applyBorder="1" applyAlignment="1">
      <x:alignment horizontal="center" vertical="center"/>
    </x:xf>
    <x:xf numFmtId="201" fontId="4" fillId="5" borderId="5"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6" fillId="0" borderId="0"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6" fillId="0" borderId="10" xfId="0" applyNumberFormat="1" applyFont="1" applyFill="1" applyBorder="1"/>
    <x:xf numFmtId="0" fontId="6" fillId="0" borderId="11" xfId="0" applyNumberFormat="1" applyFont="1" applyFill="1" applyBorder="1"/>
    <x:xf numFmtId="0" fontId="6" fillId="0" borderId="12" xfId="0" applyNumberFormat="1" applyFont="1" applyFill="1" applyBorder="1"/>
    <x:xf numFmtId="0" fontId="6" fillId="0" borderId="13" xfId="0" applyNumberFormat="1" applyFont="1" applyFill="1" applyBorder="1"/>
    <x:xf numFmtId="0" fontId="6" fillId="0" borderId="6" xfId="0" applyNumberFormat="1" applyFont="1" applyFill="1" applyBorder="1" applyAlignment="1">
      <x:alignment vertical="center"/>
    </x:xf>
    <x:xf numFmtId="0" fontId="6" fillId="0" borderId="7" xfId="0" applyNumberFormat="1" applyFont="1" applyFill="1" applyBorder="1" applyAlignment="1">
      <x:alignment vertical="center"/>
    </x:xf>
    <x:xf numFmtId="0" fontId="6" fillId="0" borderId="8" xfId="0" applyNumberFormat="1" applyFont="1" applyFill="1" applyBorder="1" applyAlignment="1">
      <x:alignment vertical="center"/>
    </x:xf>
    <x:xf numFmtId="0" fontId="6" fillId="0" borderId="9" xfId="0" applyNumberFormat="1" applyFont="1" applyFill="1" applyBorder="1" applyAlignment="1">
      <x:alignment vertical="center"/>
    </x:xf>
    <x:xf numFmtId="0" fontId="6" fillId="0" borderId="0" xfId="0" applyNumberFormat="1" applyFont="1" applyFill="1" applyBorder="1" applyAlignment="1">
      <x:alignment vertical="center"/>
    </x:xf>
    <x:xf numFmtId="0" fontId="6" fillId="0" borderId="10" xfId="0" applyNumberFormat="1" applyFont="1" applyFill="1" applyBorder="1" applyAlignment="1">
      <x:alignment vertical="center"/>
    </x:xf>
    <x:xf numFmtId="0" fontId="6" fillId="0" borderId="11" xfId="0" applyNumberFormat="1" applyFont="1" applyFill="1" applyBorder="1" applyAlignment="1">
      <x:alignment vertical="center"/>
    </x:xf>
    <x:xf numFmtId="0" fontId="6" fillId="0" borderId="12" xfId="0" applyNumberFormat="1" applyFont="1" applyFill="1" applyBorder="1" applyAlignment="1">
      <x:alignment vertical="center"/>
    </x:xf>
    <x:xf numFmtId="0" fontId="6" fillId="0" borderId="13" xfId="0" applyNumberFormat="1" applyFont="1" applyFill="1" applyBorder="1" applyAlignment="1">
      <x:alignment vertical="center"/>
    </x:xf>
    <x:xf numFmtId="0" fontId="6" fillId="0" borderId="1" xfId="0" applyNumberFormat="1" applyFont="1" applyFill="1" applyBorder="1"/>
    <x:xf numFmtId="0" fontId="6" fillId="0" borderId="14" xfId="0" applyNumberFormat="1" applyFont="1" applyFill="1" applyBorder="1"/>
    <x:xf numFmtId="0" fontId="6" fillId="0" borderId="15" xfId="0" applyNumberFormat="1" applyFont="1" applyFill="1" applyBorder="1"/>
    <x:xf numFmtId="0" fontId="6" fillId="0" borderId="16" xfId="0" applyNumberFormat="1" applyFont="1" applyFill="1" applyBorder="1"/>
    <x:xf numFmtId="0" fontId="6" fillId="0" borderId="17" xfId="0" applyNumberFormat="1" applyFont="1" applyFill="1" applyBorder="1"/>
    <x:xf numFmtId="0" fontId="6" fillId="0" borderId="18" xfId="0" applyNumberFormat="1" applyFont="1" applyFill="1" applyBorder="1"/>
    <x:xf numFmtId="0" fontId="6" fillId="0" borderId="19" xfId="0" applyNumberFormat="1" applyFont="1" applyFill="1" applyBorder="1"/>
    <x:xf numFmtId="0" fontId="6" fillId="0" borderId="20" xfId="0" applyNumberFormat="1" applyFont="1" applyFill="1" applyBorder="1"/>
    <x:xf numFmtId="0" fontId="6" fillId="0" borderId="21" xfId="0" applyNumberFormat="1" applyFont="1" applyFill="1" applyBorder="1"/>
    <x:xf numFmtId="0" fontId="6" fillId="0" borderId="14" xfId="0" applyNumberFormat="1" applyFont="1" applyFill="1" applyBorder="1" applyAlignment="1">
      <x:alignment vertical="center"/>
    </x:xf>
    <x:xf numFmtId="0" fontId="6" fillId="0" borderId="15" xfId="0" applyNumberFormat="1" applyFont="1" applyFill="1" applyBorder="1" applyAlignment="1">
      <x:alignment vertical="center"/>
    </x:xf>
    <x:xf numFmtId="0" fontId="6" fillId="0" borderId="16" xfId="0" applyNumberFormat="1" applyFont="1" applyFill="1" applyBorder="1" applyAlignment="1">
      <x:alignment vertical="center"/>
    </x:xf>
    <x:xf numFmtId="0" fontId="6" fillId="0" borderId="17" xfId="0" applyNumberFormat="1" applyFont="1" applyFill="1" applyBorder="1" applyAlignment="1">
      <x:alignment vertical="center"/>
    </x:xf>
    <x:xf numFmtId="0" fontId="6" fillId="0" borderId="1" xfId="0" applyNumberFormat="1" applyFont="1" applyFill="1" applyBorder="1" applyAlignment="1">
      <x:alignment vertical="center"/>
    </x:xf>
    <x:xf numFmtId="0" fontId="6" fillId="0" borderId="18" xfId="0" applyNumberFormat="1" applyFont="1" applyFill="1" applyBorder="1" applyAlignment="1">
      <x:alignment vertical="center"/>
    </x:xf>
    <x:xf numFmtId="0" fontId="6" fillId="0" borderId="19" xfId="0" applyNumberFormat="1" applyFont="1" applyFill="1" applyBorder="1" applyAlignment="1">
      <x:alignment vertical="center"/>
    </x:xf>
    <x:xf numFmtId="0" fontId="6" fillId="0" borderId="20" xfId="0" applyNumberFormat="1" applyFont="1" applyFill="1" applyBorder="1" applyAlignment="1">
      <x:alignment vertical="center"/>
    </x:xf>
    <x:xf numFmtId="0" fontId="6" fillId="0" borderId="21" xfId="0" applyNumberFormat="1" applyFont="1" applyFill="1" applyBorder="1" applyAlignment="1">
      <x:alignment vertical="center"/>
    </x:xf>
    <x:xf numFmtId="0" fontId="6" fillId="0" borderId="6" xfId="0" applyNumberFormat="1" applyFont="1" applyFill="1" applyBorder="1" applyAlignment="1">
      <x:alignment horizontal="center" vertical="center"/>
    </x:xf>
    <x:xf numFmtId="0" fontId="6" fillId="0" borderId="9" xfId="0" applyNumberFormat="1" applyFont="1" applyFill="1" applyBorder="1" applyAlignment="1">
      <x:alignment horizontal="center" vertical="center"/>
    </x:xf>
    <x:xf numFmtId="0" fontId="6" fillId="0" borderId="11" xfId="0" applyNumberFormat="1" applyFont="1" applyFill="1" applyBorder="1" applyAlignment="1">
      <x:alignment horizontal="center" vertical="center"/>
    </x:xf>
    <x:xf numFmtId="0" fontId="6" fillId="0" borderId="14" xfId="0" applyNumberFormat="1" applyFont="1" applyFill="1" applyBorder="1" applyAlignment="1">
      <x:alignment horizontal="center" vertical="center"/>
    </x:xf>
    <x:xf numFmtId="0" fontId="6" fillId="0" borderId="17" xfId="0" applyNumberFormat="1" applyFont="1" applyFill="1" applyBorder="1" applyAlignment="1">
      <x:alignment horizontal="center" vertical="center"/>
    </x:xf>
    <x:xf numFmtId="0" fontId="6" fillId="0" borderId="19" xfId="0" applyNumberFormat="1" applyFont="1" applyFill="1" applyBorder="1" applyAlignment="1">
      <x:alignment horizontal="center" vertical="center"/>
    </x:xf>
    <x:xf numFmtId="0" fontId="3" fillId="0" borderId="7"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12" xfId="0" applyNumberFormat="1" applyFont="1" applyFill="1" applyBorder="1" applyAlignment="1">
      <x:alignment vertical="center"/>
    </x:xf>
    <x:xf numFmtId="0" fontId="3" fillId="0" borderId="15" xfId="0" applyNumberFormat="1" applyFont="1" applyFill="1" applyBorder="1" applyAlignment="1">
      <x:alignment vertical="center"/>
    </x:xf>
    <x:xf numFmtId="0" fontId="3" fillId="0" borderId="1" xfId="0" applyNumberFormat="1" applyFont="1" applyFill="1" applyBorder="1" applyAlignment="1">
      <x:alignment vertical="center"/>
    </x:xf>
    <x:xf numFmtId="0" fontId="3" fillId="0" borderId="20" xfId="0" applyNumberFormat="1" applyFont="1" applyFill="1" applyBorder="1" applyAlignment="1">
      <x:alignment vertical="center"/>
    </x:xf>
    <x:xf numFmtId="0" fontId="6" fillId="0" borderId="8" xfId="0" applyNumberFormat="1" applyFont="1" applyFill="1" applyBorder="1" applyAlignment="1">
      <x:alignment vertical="center" wrapText="1"/>
    </x:xf>
    <x:xf numFmtId="0" fontId="0" fillId="0" borderId="0" xfId="0" applyNumberFormat="1" applyFont="1" applyFill="1" applyBorder="1" applyAlignment="1">
      <x:alignment wrapText="1"/>
    </x:xf>
    <x:xf numFmtId="0" fontId="6" fillId="0" borderId="10" xfId="0" applyNumberFormat="1" applyFont="1" applyFill="1" applyBorder="1" applyAlignment="1">
      <x:alignment vertical="center" wrapText="1"/>
    </x:xf>
    <x:xf numFmtId="0" fontId="6" fillId="0" borderId="13" xfId="0" applyNumberFormat="1" applyFont="1" applyFill="1" applyBorder="1" applyAlignment="1">
      <x:alignment vertical="center" wrapText="1"/>
    </x:xf>
    <x:xf numFmtId="0" fontId="6" fillId="0" borderId="16" xfId="0" applyNumberFormat="1" applyFont="1" applyFill="1" applyBorder="1" applyAlignment="1">
      <x:alignment vertical="center" wrapText="1"/>
    </x:xf>
    <x:xf numFmtId="0" fontId="0" fillId="0" borderId="1" xfId="0" applyNumberFormat="1" applyFont="1" applyFill="1" applyBorder="1" applyAlignment="1">
      <x:alignment wrapText="1"/>
    </x:xf>
    <x:xf numFmtId="0" fontId="6" fillId="0" borderId="18" xfId="0" applyNumberFormat="1" applyFont="1" applyFill="1" applyBorder="1" applyAlignment="1">
      <x:alignment vertical="center" wrapText="1"/>
    </x:xf>
    <x:xf numFmtId="0" fontId="6" fillId="0" borderId="21" xfId="0" applyNumberFormat="1" applyFont="1" applyFill="1" applyBorder="1" applyAlignment="1">
      <x:alignment vertical="center" wrapText="1"/>
    </x:xf>
    <x:xf numFmtId="0" fontId="7" fillId="2" borderId="0" xfId="0" applyNumberFormat="1" applyFont="1" applyFill="1" applyBorder="1"/>
    <x:xf numFmtId="0" fontId="7" fillId="2" borderId="22" xfId="0" applyNumberFormat="1" applyFont="1" applyFill="1" applyBorder="1"/>
    <x:xf numFmtId="0" fontId="7" fillId="2" borderId="23" xfId="0" applyNumberFormat="1" applyFont="1" applyFill="1" applyBorder="1"/>
    <x:xf numFmtId="0" fontId="7" fillId="2" borderId="24" xfId="0" applyNumberFormat="1" applyFont="1" applyFill="1" applyBorder="1"/>
    <x:xf numFmtId="0" fontId="7" fillId="2" borderId="22" xfId="0" applyNumberFormat="1" applyFont="1" applyFill="1" applyBorder="1" applyAlignment="1">
      <x:alignment wrapText="1"/>
    </x:xf>
    <x:xf numFmtId="0" fontId="7" fillId="2" borderId="23" xfId="0" applyNumberFormat="1" applyFont="1" applyFill="1" applyBorder="1" applyAlignment="1">
      <x:alignment wrapText="1"/>
    </x:xf>
    <x:xf numFmtId="0" fontId="7" fillId="2" borderId="24" xfId="0" applyNumberFormat="1" applyFont="1" applyFill="1" applyBorder="1" applyAlignment="1">
      <x:alignment wrapText="1"/>
    </x:xf>
    <x:xf numFmtId="0" fontId="7" fillId="2" borderId="22" xfId="0" applyNumberFormat="1" applyFont="1" applyFill="1" applyBorder="1" applyAlignment="1">
      <x:alignment horizontal="center" wrapText="1"/>
    </x:xf>
    <x:xf numFmtId="0" fontId="7" fillId="2" borderId="23" xfId="0" applyNumberFormat="1" applyFont="1" applyFill="1" applyBorder="1" applyAlignment="1">
      <x:alignment horizontal="center" wrapText="1"/>
    </x:xf>
    <x:xf numFmtId="0" fontId="7" fillId="2" borderId="24" xfId="0" applyNumberFormat="1" applyFont="1" applyFill="1" applyBorder="1" applyAlignment="1">
      <x:alignment horizontal="center" wrapText="1"/>
    </x:xf>
    <x:xf numFmtId="0" fontId="7" fillId="2" borderId="22" xfId="0" applyNumberFormat="1" applyFont="1" applyFill="1" applyBorder="1" applyAlignment="1">
      <x:alignment horizontal="center" vertical="center" wrapText="1"/>
    </x:xf>
    <x:xf numFmtId="0" fontId="7" fillId="2" borderId="23" xfId="0" applyNumberFormat="1" applyFont="1" applyFill="1" applyBorder="1" applyAlignment="1">
      <x:alignment horizontal="center" vertical="center" wrapText="1"/>
    </x:xf>
    <x:xf numFmtId="0" fontId="7" fillId="2" borderId="24" xfId="0" applyNumberFormat="1" applyFont="1" applyFill="1" applyBorder="1" applyAlignment="1">
      <x:alignment horizontal="center" vertical="center" wrapText="1"/>
    </x:xf>
    <x:xf numFmtId="0" fontId="7" fillId="2" borderId="1" xfId="0" applyNumberFormat="1" applyFont="1" applyFill="1" applyBorder="1"/>
    <x:xf numFmtId="0" fontId="7" fillId="2" borderId="25" xfId="0" applyNumberFormat="1" applyFont="1" applyFill="1" applyBorder="1"/>
    <x:xf numFmtId="0" fontId="7" fillId="2" borderId="26" xfId="0" applyNumberFormat="1" applyFont="1" applyFill="1" applyBorder="1"/>
    <x:xf numFmtId="0" fontId="7" fillId="2" borderId="27" xfId="0" applyNumberFormat="1" applyFont="1" applyFill="1" applyBorder="1"/>
    <x:xf numFmtId="0" fontId="7" fillId="2" borderId="25" xfId="0" applyNumberFormat="1" applyFont="1" applyFill="1" applyBorder="1" applyAlignment="1">
      <x:alignment wrapText="1"/>
    </x:xf>
    <x:xf numFmtId="0" fontId="7" fillId="2" borderId="26" xfId="0" applyNumberFormat="1" applyFont="1" applyFill="1" applyBorder="1" applyAlignment="1">
      <x:alignment wrapText="1"/>
    </x:xf>
    <x:xf numFmtId="0" fontId="7" fillId="2" borderId="27" xfId="0" applyNumberFormat="1" applyFont="1" applyFill="1" applyBorder="1" applyAlignment="1">
      <x:alignment wrapText="1"/>
    </x:xf>
    <x:xf numFmtId="0" fontId="7" fillId="2" borderId="25" xfId="0" applyNumberFormat="1" applyFont="1" applyFill="1" applyBorder="1" applyAlignment="1">
      <x:alignment horizontal="center" wrapText="1"/>
    </x:xf>
    <x:xf numFmtId="0" fontId="7" fillId="2" borderId="26" xfId="0" applyNumberFormat="1" applyFont="1" applyFill="1" applyBorder="1" applyAlignment="1">
      <x:alignment horizontal="center" wrapText="1"/>
    </x:xf>
    <x:xf numFmtId="0" fontId="7" fillId="2" borderId="27" xfId="0" applyNumberFormat="1" applyFont="1" applyFill="1" applyBorder="1" applyAlignment="1">
      <x:alignment horizontal="center" wrapText="1"/>
    </x:xf>
    <x:xf numFmtId="0" fontId="7" fillId="2" borderId="25" xfId="0" applyNumberFormat="1" applyFont="1" applyFill="1" applyBorder="1" applyAlignment="1">
      <x:alignment horizontal="center" vertical="center" wrapText="1"/>
    </x:xf>
    <x:xf numFmtId="0" fontId="7" fillId="2" borderId="26" xfId="0" applyNumberFormat="1" applyFont="1" applyFill="1" applyBorder="1" applyAlignment="1">
      <x:alignment horizontal="center" vertical="center" wrapText="1"/>
    </x:xf>
    <x:xf numFmtId="0" fontId="7" fillId="2" borderId="27" xfId="0" applyNumberFormat="1" applyFont="1" applyFill="1" applyBorder="1" applyAlignment="1">
      <x:alignment horizontal="center" vertical="center" wrapText="1"/>
    </x:xf>
    <x:xf numFmtId="0" fontId="6" fillId="0" borderId="7" xfId="0" applyNumberFormat="1" applyFont="1" applyFill="1" applyBorder="1" applyAlignment="1">
      <x:alignment horizontal="center" vertical="center"/>
    </x:xf>
    <x:xf numFmtId="0" fontId="6" fillId="0" borderId="0" xfId="0" applyNumberFormat="1" applyFont="1" applyFill="1" applyBorder="1" applyAlignment="1">
      <x:alignment horizontal="center" vertical="center"/>
    </x:xf>
    <x:xf numFmtId="0" fontId="6" fillId="0" borderId="12" xfId="0" applyNumberFormat="1" applyFont="1" applyFill="1" applyBorder="1" applyAlignment="1">
      <x:alignment horizontal="center" vertical="center"/>
    </x:xf>
    <x:xf numFmtId="0" fontId="6" fillId="0" borderId="15" xfId="0" applyNumberFormat="1" applyFont="1" applyFill="1" applyBorder="1" applyAlignment="1">
      <x:alignment horizontal="center" vertical="center"/>
    </x:xf>
    <x:xf numFmtId="0" fontId="6" fillId="0" borderId="1" xfId="0" applyNumberFormat="1" applyFont="1" applyFill="1" applyBorder="1" applyAlignment="1">
      <x:alignment horizontal="center" vertical="center"/>
    </x:xf>
    <x:xf numFmtId="0" fontId="6" fillId="0" borderId="20" xfId="0" applyNumberFormat="1" applyFont="1" applyFill="1" applyBorder="1" applyAlignment="1">
      <x:alignment horizontal="center" vertical="center"/>
    </x:xf>
    <x:xf numFmtId="0" fontId="6" fillId="0" borderId="7"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6" fillId="0" borderId="12" xfId="0" applyNumberFormat="1" applyFont="1" applyFill="1" applyBorder="1" applyAlignment="1">
      <x:alignment vertical="center" wrapText="1"/>
    </x:xf>
    <x:xf numFmtId="0" fontId="6" fillId="0" borderId="15"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6" fillId="0" borderId="20" xfId="0" applyNumberFormat="1" applyFont="1" applyFill="1" applyBorder="1" applyAlignment="1">
      <x:alignment vertical="center" wrapText="1"/>
    </x:xf>
    <x:xf numFmtId="0" fontId="6" fillId="7" borderId="6" xfId="0" applyNumberFormat="1" applyFont="1" applyFill="1" applyBorder="1" applyAlignment="1">
      <x:alignment horizontal="center" vertical="center"/>
    </x:xf>
    <x:xf numFmtId="0" fontId="6" fillId="7" borderId="14" xfId="0" applyNumberFormat="1" applyFont="1" applyFill="1" applyBorder="1" applyAlignment="1">
      <x:alignment horizontal="center" vertical="center"/>
    </x:xf>
    <x:xf numFmtId="0" fontId="6" fillId="8" borderId="9" xfId="0" applyNumberFormat="1" applyFont="1" applyFill="1" applyBorder="1" applyAlignment="1">
      <x:alignment horizontal="center" vertical="center"/>
    </x:xf>
    <x:xf numFmtId="0" fontId="6" fillId="8" borderId="17" xfId="0" applyNumberFormat="1" applyFont="1" applyFill="1" applyBorder="1" applyAlignment="1">
      <x:alignment horizontal="center" vertical="center"/>
    </x:xf>
    <x:xf numFmtId="0" fontId="6" fillId="9" borderId="9" xfId="0" applyNumberFormat="1" applyFont="1" applyFill="1" applyBorder="1" applyAlignment="1">
      <x:alignment horizontal="center" vertical="center"/>
    </x:xf>
    <x:xf numFmtId="0" fontId="6" fillId="9" borderId="17" xfId="0" applyNumberFormat="1" applyFont="1" applyFill="1" applyBorder="1" applyAlignment="1">
      <x:alignment horizontal="center" vertical="center"/>
    </x:xf>
    <x:xf numFmtId="0" fontId="6" fillId="10" borderId="11" xfId="0" applyNumberFormat="1" applyFont="1" applyFill="1" applyBorder="1" applyAlignment="1">
      <x:alignment horizontal="center" vertical="center"/>
    </x:xf>
    <x:xf numFmtId="0" fontId="6" fillId="10" borderId="19" xfId="0" applyNumberFormat="1" applyFont="1" applyFill="1" applyBorder="1" applyAlignment="1">
      <x:alignment horizontal="center" vertical="center"/>
    </x:xf>
    <x:xf numFmtId="0" fontId="6" fillId="0" borderId="7" xfId="0" applyNumberFormat="1" applyFont="1" applyFill="1" applyBorder="1" applyAlignment="1">
      <x:alignment horizontal="center" vertical="center" wrapText="1"/>
    </x:xf>
    <x:xf numFmtId="0" fontId="6" fillId="0" borderId="0" xfId="0" applyNumberFormat="1" applyFont="1" applyFill="1" applyBorder="1" applyAlignment="1">
      <x:alignment horizontal="center" vertical="center" wrapText="1"/>
    </x:xf>
    <x:xf numFmtId="0" fontId="6" fillId="0" borderId="12" xfId="0" applyNumberFormat="1" applyFont="1" applyFill="1" applyBorder="1" applyAlignment="1">
      <x:alignment horizontal="center" vertical="center" wrapText="1"/>
    </x:xf>
    <x:xf numFmtId="0" fontId="6" fillId="0" borderId="15" xfId="0" applyNumberFormat="1" applyFont="1" applyFill="1" applyBorder="1" applyAlignment="1">
      <x:alignment horizontal="center" vertical="center" wrapText="1"/>
    </x:xf>
    <x:xf numFmtId="0" fontId="6" fillId="0" borderId="1" xfId="0" applyNumberFormat="1" applyFont="1" applyFill="1" applyBorder="1" applyAlignment="1">
      <x:alignment horizontal="center" vertical="center" wrapText="1"/>
    </x:xf>
    <x:xf numFmtId="0" fontId="6" fillId="0" borderId="20" xfId="0" applyNumberFormat="1" applyFont="1" applyFill="1" applyBorder="1" applyAlignment="1">
      <x:alignment horizontal="center" vertical="center" wrapText="1"/>
    </x:xf>
    <x:xf numFmtId="201" fontId="6" fillId="0" borderId="7" xfId="0" applyNumberFormat="1" applyFont="1" applyFill="1" applyBorder="1" applyAlignment="1">
      <x:alignment horizontal="center" vertical="center" wrapText="1"/>
    </x:xf>
    <x:xf numFmtId="201" fontId="6" fillId="0" borderId="0" xfId="0" applyNumberFormat="1" applyFont="1" applyFill="1" applyBorder="1" applyAlignment="1">
      <x:alignment horizontal="center" vertical="center" wrapText="1"/>
    </x:xf>
    <x:xf numFmtId="201" fontId="6" fillId="0" borderId="12" xfId="0" applyNumberFormat="1" applyFont="1" applyFill="1" applyBorder="1" applyAlignment="1">
      <x:alignment horizontal="center" vertical="center" wrapText="1"/>
    </x:xf>
    <x:xf numFmtId="201" fontId="6" fillId="0" borderId="15" xfId="0" applyNumberFormat="1" applyFont="1" applyFill="1" applyBorder="1" applyAlignment="1">
      <x:alignment horizontal="center" vertical="center" wrapText="1"/>
    </x:xf>
    <x:xf numFmtId="201" fontId="6" fillId="0" borderId="1" xfId="0" applyNumberFormat="1" applyFont="1" applyFill="1" applyBorder="1" applyAlignment="1">
      <x:alignment horizontal="center" vertical="center" wrapText="1"/>
    </x:xf>
    <x:xf numFmtId="201" fontId="6" fillId="0" borderId="20" xfId="0" applyNumberFormat="1" applyFont="1" applyFill="1" applyBorder="1" applyAlignment="1">
      <x:alignment horizontal="center" vertical="center" wrapText="1"/>
    </x:xf>
    <x:xf numFmtId="201" fontId="6" fillId="0" borderId="7" xfId="0" applyNumberFormat="1" applyFont="1" applyFill="1" applyBorder="1" applyAlignment="1">
      <x:alignment horizontal="center" vertical="center"/>
    </x:xf>
    <x:xf numFmtId="201" fontId="6" fillId="0" borderId="0" xfId="0" applyNumberFormat="1" applyFont="1" applyFill="1" applyBorder="1" applyAlignment="1">
      <x:alignment horizontal="center" vertical="center"/>
    </x:xf>
    <x:xf numFmtId="201" fontId="6" fillId="0" borderId="12" xfId="0" applyNumberFormat="1" applyFont="1" applyFill="1" applyBorder="1" applyAlignment="1">
      <x:alignment horizontal="center" vertical="center"/>
    </x:xf>
    <x:xf numFmtId="201" fontId="6" fillId="0" borderId="15" xfId="0" applyNumberFormat="1" applyFont="1" applyFill="1" applyBorder="1" applyAlignment="1">
      <x:alignment horizontal="center" vertical="center"/>
    </x:xf>
    <x:xf numFmtId="201" fontId="6" fillId="0" borderId="1" xfId="0" applyNumberFormat="1" applyFont="1" applyFill="1" applyBorder="1" applyAlignment="1">
      <x:alignment horizontal="center" vertical="center"/>
    </x:xf>
    <x:xf numFmtId="201" fontId="6" fillId="0" borderId="20" xfId="0" applyNumberFormat="1" applyFont="1" applyFill="1" applyBorder="1" applyAlignment="1">
      <x:alignment horizontal="center" vertical="center"/>
    </x:xf>
    <x:xf numFmtId="0" fontId="3" fillId="4" borderId="28" xfId="0" applyNumberFormat="1" applyFont="1" applyFill="1" applyBorder="1"/>
    <x:xf numFmtId="0" fontId="3" fillId="4" borderId="28" xfId="0" applyNumberFormat="1" applyFont="1" applyFill="1" applyBorder="1" applyAlignment="1">
      <x:alignment horizontal="center"/>
    </x:xf>
    <x:xf numFmtId="0" fontId="3" fillId="4" borderId="28" xfId="0" applyNumberFormat="1" applyFont="1" applyFill="1" applyBorder="1" applyAlignment="1">
      <x:alignment horizontal="center" vertical="center"/>
    </x:xf>
    <x:xf numFmtId="0" fontId="3" fillId="4" borderId="29" xfId="0" applyNumberFormat="1" applyFont="1" applyFill="1" applyBorder="1"/>
    <x:xf numFmtId="0" fontId="3" fillId="4" borderId="29" xfId="0" applyNumberFormat="1" applyFont="1" applyFill="1" applyBorder="1" applyAlignment="1">
      <x:alignment horizontal="center"/>
    </x:xf>
    <x:xf numFmtId="0" fontId="3" fillId="4" borderId="29" xfId="0" applyNumberFormat="1" applyFont="1" applyFill="1" applyBorder="1" applyAlignment="1">
      <x:alignment horizontal="center" vertical="center"/>
    </x:xf>
    <x:xf numFmtId="0" fontId="4" fillId="5" borderId="28" xfId="0" applyNumberFormat="1" applyFont="1" applyFill="1" applyBorder="1"/>
    <x:xf numFmtId="0" fontId="4" fillId="5" borderId="28" xfId="0" applyNumberFormat="1" applyFont="1" applyFill="1" applyBorder="1" applyAlignment="1">
      <x:alignment horizontal="center"/>
    </x:xf>
    <x:xf numFmtId="0" fontId="4" fillId="5" borderId="28" xfId="0" applyNumberFormat="1" applyFont="1" applyFill="1" applyBorder="1" applyAlignment="1">
      <x:alignment horizontal="center" vertical="center"/>
    </x:xf>
    <x:xf numFmtId="0" fontId="4" fillId="5" borderId="29" xfId="0" applyNumberFormat="1" applyFont="1" applyFill="1" applyBorder="1"/>
    <x:xf numFmtId="0" fontId="4" fillId="5" borderId="29" xfId="0" applyNumberFormat="1" applyFont="1" applyFill="1" applyBorder="1" applyAlignment="1">
      <x:alignment horizontal="center"/>
    </x:xf>
    <x:xf numFmtId="0" fontId="4" fillId="5" borderId="29" xfId="0" applyNumberFormat="1" applyFont="1" applyFill="1" applyBorder="1" applyAlignment="1">
      <x:alignment horizontal="center" vertical="center"/>
    </x:xf>
    <x:xf numFmtId="202" fontId="4" fillId="5" borderId="28" xfId="0" applyNumberFormat="1" applyFont="1" applyFill="1" applyBorder="1" applyAlignment="1">
      <x:alignment horizontal="center" vertical="center"/>
    </x:xf>
    <x:xf numFmtId="202" fontId="4" fillId="5" borderId="29" xfId="0" applyNumberFormat="1" applyFont="1" applyFill="1" applyBorder="1" applyAlignment="1">
      <x:alignment horizontal="center" vertical="center"/>
    </x:xf>
    <x:xf numFmtId="203" fontId="4" fillId="5" borderId="28" xfId="0" applyNumberFormat="1" applyFont="1" applyFill="1" applyBorder="1" applyAlignment="1">
      <x:alignment horizontal="center" vertical="center"/>
    </x:xf>
    <x:xf numFmtId="203" fontId="4" fillId="5" borderId="29" xfId="0" applyNumberFormat="1" applyFont="1" applyFill="1" applyBorder="1" applyAlignment="1">
      <x:alignment horizontal="center" vertical="center"/>
    </x:xf>
    <x:xf numFmtId="202" fontId="6" fillId="0" borderId="7" xfId="0" applyNumberFormat="1" applyFont="1" applyFill="1" applyBorder="1" applyAlignment="1">
      <x:alignment horizontal="center" vertical="center"/>
    </x:xf>
    <x:xf numFmtId="202" fontId="6" fillId="0" borderId="0" xfId="0" applyNumberFormat="1" applyFont="1" applyFill="1" applyBorder="1" applyAlignment="1">
      <x:alignment horizontal="center" vertical="center"/>
    </x:xf>
    <x:xf numFmtId="202" fontId="6" fillId="0" borderId="12" xfId="0" applyNumberFormat="1" applyFont="1" applyFill="1" applyBorder="1" applyAlignment="1">
      <x:alignment horizontal="center" vertical="center"/>
    </x:xf>
    <x:xf numFmtId="202" fontId="6" fillId="0" borderId="15" xfId="0" applyNumberFormat="1" applyFont="1" applyFill="1" applyBorder="1" applyAlignment="1">
      <x:alignment horizontal="center" vertical="center"/>
    </x:xf>
    <x:xf numFmtId="202" fontId="6" fillId="0" borderId="1" xfId="0" applyNumberFormat="1" applyFont="1" applyFill="1" applyBorder="1" applyAlignment="1">
      <x:alignment horizontal="center" vertical="center"/>
    </x:xf>
    <x:xf numFmtId="202" fontId="6" fillId="0" borderId="20" xfId="0" applyNumberFormat="1" applyFont="1" applyFill="1" applyBorder="1" applyAlignment="1">
      <x:alignment horizontal="center" vertical="center"/>
    </x:xf>
    <x:xf numFmtId="203" fontId="6" fillId="0" borderId="7" xfId="0" applyNumberFormat="1" applyFont="1" applyFill="1" applyBorder="1" applyAlignment="1">
      <x:alignment horizontal="center" vertical="center"/>
    </x:xf>
    <x:xf numFmtId="203" fontId="6" fillId="0" borderId="0" xfId="0" applyNumberFormat="1" applyFont="1" applyFill="1" applyBorder="1" applyAlignment="1">
      <x:alignment horizontal="center" vertical="center"/>
    </x:xf>
    <x:xf numFmtId="203" fontId="6" fillId="0" borderId="12" xfId="0" applyNumberFormat="1" applyFont="1" applyFill="1" applyBorder="1" applyAlignment="1">
      <x:alignment horizontal="center" vertical="center"/>
    </x:xf>
    <x:xf numFmtId="203" fontId="6" fillId="0" borderId="15" xfId="0" applyNumberFormat="1" applyFont="1" applyFill="1" applyBorder="1" applyAlignment="1">
      <x:alignment horizontal="center" vertical="center"/>
    </x:xf>
    <x:xf numFmtId="203" fontId="6" fillId="0" borderId="1" xfId="0" applyNumberFormat="1" applyFont="1" applyFill="1" applyBorder="1" applyAlignment="1">
      <x:alignment horizontal="center" vertical="center"/>
    </x:xf>
    <x:xf numFmtId="203" fontId="6" fillId="0" borderId="20" xfId="0" applyNumberFormat="1" applyFont="1" applyFill="1" applyBorder="1" applyAlignment="1">
      <x:alignment horizontal="center" vertical="center"/>
    </x:xf>
    <x:xf numFmtId="0" fontId="6" fillId="0" borderId="8" xfId="0" applyNumberFormat="1" applyFont="1" applyFill="1" applyBorder="1" applyAlignment="1">
      <x:alignment horizontal="center" vertical="center"/>
    </x:xf>
    <x:xf numFmtId="0" fontId="6" fillId="0" borderId="10" xfId="0" applyNumberFormat="1" applyFont="1" applyFill="1" applyBorder="1" applyAlignment="1">
      <x:alignment horizontal="center" vertical="center"/>
    </x:xf>
    <x:xf numFmtId="0" fontId="6" fillId="0" borderId="13" xfId="0" applyNumberFormat="1" applyFont="1" applyFill="1" applyBorder="1" applyAlignment="1">
      <x:alignment horizontal="center" vertical="center"/>
    </x:xf>
    <x:xf numFmtId="0" fontId="6" fillId="0" borderId="16" xfId="0" applyNumberFormat="1" applyFont="1" applyFill="1" applyBorder="1" applyAlignment="1">
      <x:alignment horizontal="center" vertical="center"/>
    </x:xf>
    <x:xf numFmtId="0" fontId="6" fillId="0" borderId="18" xfId="0" applyNumberFormat="1" applyFont="1" applyFill="1" applyBorder="1" applyAlignment="1">
      <x:alignment horizontal="center" vertical="center"/>
    </x:xf>
    <x:xf numFmtId="0" fontId="6" fillId="0" borderId="21" xfId="0" applyNumberFormat="1" applyFont="1" applyFill="1" applyBorder="1" applyAlignment="1">
      <x:alignment horizontal="center" vertical="center"/>
    </x:xf>
    <x:xf numFmtId="202" fontId="6" fillId="0" borderId="8" xfId="0" applyNumberFormat="1" applyFont="1" applyFill="1" applyBorder="1" applyAlignment="1">
      <x:alignment horizontal="center" vertical="center"/>
    </x:xf>
    <x:xf numFmtId="202" fontId="6" fillId="0" borderId="10" xfId="0" applyNumberFormat="1" applyFont="1" applyFill="1" applyBorder="1" applyAlignment="1">
      <x:alignment horizontal="center" vertical="center"/>
    </x:xf>
    <x:xf numFmtId="202" fontId="6" fillId="0" borderId="13" xfId="0" applyNumberFormat="1" applyFont="1" applyFill="1" applyBorder="1" applyAlignment="1">
      <x:alignment horizontal="center" vertical="center"/>
    </x:xf>
    <x:xf numFmtId="202" fontId="6" fillId="0" borderId="16" xfId="0" applyNumberFormat="1" applyFont="1" applyFill="1" applyBorder="1" applyAlignment="1">
      <x:alignment horizontal="center" vertical="center"/>
    </x:xf>
    <x:xf numFmtId="202" fontId="6" fillId="0" borderId="18" xfId="0" applyNumberFormat="1" applyFont="1" applyFill="1" applyBorder="1" applyAlignment="1">
      <x:alignment horizontal="center" vertical="center"/>
    </x:xf>
    <x:xf numFmtId="202" fontId="6" fillId="0" borderId="21" xfId="0" applyNumberFormat="1" applyFont="1" applyFill="1" applyBorder="1" applyAlignment="1">
      <x:alignment horizontal="center" vertical="center"/>
    </x:xf>
    <x:xf numFmtId="204" fontId="6" fillId="0" borderId="6" xfId="0" applyNumberFormat="1" applyFont="1" applyFill="1" applyBorder="1" applyAlignment="1">
      <x:alignment horizontal="center" vertical="center"/>
    </x:xf>
    <x:xf numFmtId="204" fontId="6" fillId="0" borderId="9" xfId="0" applyNumberFormat="1" applyFont="1" applyFill="1" applyBorder="1" applyAlignment="1">
      <x:alignment horizontal="center" vertical="center"/>
    </x:xf>
    <x:xf numFmtId="204" fontId="6" fillId="0" borderId="11" xfId="0" applyNumberFormat="1" applyFont="1" applyFill="1" applyBorder="1" applyAlignment="1">
      <x:alignment horizontal="center" vertical="center"/>
    </x:xf>
    <x:xf numFmtId="204" fontId="6" fillId="0" borderId="14" xfId="0" applyNumberFormat="1" applyFont="1" applyFill="1" applyBorder="1" applyAlignment="1">
      <x:alignment horizontal="center" vertical="center"/>
    </x:xf>
    <x:xf numFmtId="204" fontId="6" fillId="0" borderId="17" xfId="0" applyNumberFormat="1" applyFont="1" applyFill="1" applyBorder="1" applyAlignment="1">
      <x:alignment horizontal="center" vertical="center"/>
    </x:xf>
    <x:xf numFmtId="204" fontId="6" fillId="0" borderId="19" xfId="0" applyNumberFormat="1" applyFont="1" applyFill="1" applyBorder="1" applyAlignment="1">
      <x:alignment horizontal="center" vertical="center"/>
    </x:xf>
    <x:xf numFmtId="0" fontId="6" fillId="0" borderId="0" xfId="0" applyNumberFormat="1" applyFont="1" applyFill="1" applyBorder="1" applyAlignment="1">
      <x:alignment wrapText="1"/>
    </x:xf>
    <x:xf numFmtId="0" fontId="6" fillId="0" borderId="6" xfId="0" applyNumberFormat="1" applyFont="1" applyFill="1" applyBorder="1" applyAlignment="1">
      <x:alignment vertical="center" wrapText="1"/>
    </x:xf>
    <x:xf numFmtId="0" fontId="6" fillId="0" borderId="7"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9" xfId="0" applyNumberFormat="1" applyFont="1" applyFill="1" applyBorder="1" applyAlignment="1">
      <x:alignment vertical="center" wrapText="1"/>
    </x:xf>
    <x:xf numFmtId="0" fontId="6" fillId="0" borderId="10" xfId="0" applyNumberFormat="1" applyFont="1" applyFill="1" applyBorder="1" applyAlignment="1">
      <x:alignment wrapText="1"/>
    </x:xf>
    <x:xf numFmtId="0" fontId="6" fillId="0" borderId="11" xfId="0" applyNumberFormat="1" applyFont="1" applyFill="1" applyBorder="1" applyAlignment="1">
      <x:alignment vertical="center" wrapText="1"/>
    </x:xf>
    <x:xf numFmtId="0" fontId="6" fillId="0" borderId="12" xfId="0" applyNumberFormat="1" applyFont="1" applyFill="1" applyBorder="1" applyAlignment="1">
      <x:alignment wrapText="1"/>
    </x:xf>
    <x:xf numFmtId="0" fontId="6" fillId="0" borderId="13" xfId="0" applyNumberFormat="1" applyFont="1" applyFill="1" applyBorder="1" applyAlignment="1">
      <x:alignment wrapText="1"/>
    </x:xf>
    <x:xf numFmtId="0" fontId="6" fillId="0" borderId="1" xfId="0" applyNumberFormat="1" applyFont="1" applyFill="1" applyBorder="1" applyAlignment="1">
      <x:alignment wrapText="1"/>
    </x:xf>
    <x:xf numFmtId="0" fontId="6" fillId="0" borderId="14" xfId="0" applyNumberFormat="1" applyFont="1" applyFill="1" applyBorder="1" applyAlignment="1">
      <x:alignment vertical="center" wrapText="1"/>
    </x:xf>
    <x:xf numFmtId="0" fontId="6" fillId="0" borderId="15" xfId="0" applyNumberFormat="1" applyFont="1" applyFill="1" applyBorder="1" applyAlignment="1">
      <x:alignment wrapText="1"/>
    </x:xf>
    <x:xf numFmtId="0" fontId="6" fillId="0" borderId="16" xfId="0" applyNumberFormat="1" applyFont="1" applyFill="1" applyBorder="1" applyAlignment="1">
      <x:alignment wrapText="1"/>
    </x:xf>
    <x:xf numFmtId="0" fontId="6" fillId="0" borderId="17" xfId="0" applyNumberFormat="1" applyFont="1" applyFill="1" applyBorder="1" applyAlignment="1">
      <x:alignment vertical="center" wrapText="1"/>
    </x:xf>
    <x:xf numFmtId="0" fontId="6" fillId="0" borderId="18" xfId="0" applyNumberFormat="1" applyFont="1" applyFill="1" applyBorder="1" applyAlignment="1">
      <x:alignment wrapText="1"/>
    </x:xf>
    <x:xf numFmtId="0" fontId="6" fillId="0" borderId="19" xfId="0" applyNumberFormat="1" applyFont="1" applyFill="1" applyBorder="1" applyAlignment="1">
      <x:alignment vertical="center" wrapText="1"/>
    </x:xf>
    <x:xf numFmtId="0" fontId="6" fillId="0" borderId="20" xfId="0" applyNumberFormat="1" applyFont="1" applyFill="1" applyBorder="1" applyAlignment="1">
      <x:alignment wrapText="1"/>
    </x:xf>
    <x:xf numFmtId="0" fontId="6" fillId="0" borderId="21" xfId="0" applyNumberFormat="1" applyFont="1" applyFill="1" applyBorder="1" applyAlignment="1">
      <x:alignment wrapText="1"/>
    </x:xf>
  </x:cellXfs>
  <x:cellStyles count="1">
    <x:cellStyle name="Normal" xfId="0"/>
  </x:cellStyles>
  <x:dxfs count="26">
    <x:dxf>
      <x:font>
        <x:b/>
        <x:color rgb="FF2563EB"/>
      </x:font>
      <x:fill>
        <x:patternFill patternType="solid">
          <x:bgColor rgb="FFEAF2FF"/>
        </x:patternFill>
      </x:fill>
    </x:dxf>
    <x:dxf>
      <x:font>
        <x:b/>
        <x:color rgb="FF7C3AED"/>
      </x:font>
      <x:fill>
        <x:patternFill patternType="solid">
          <x:bgColor rgb="FFF1EAFE"/>
        </x:patternFill>
      </x:fill>
    </x:dxf>
    <x:dxf>
      <x:font>
        <x:b/>
        <x:color rgb="FFD97706"/>
      </x:font>
      <x:fill>
        <x:patternFill patternType="solid">
          <x:bgColor rgb="FFFFF3E0"/>
        </x:patternFill>
      </x:fill>
    </x:dxf>
    <x:dxf>
      <x:font>
        <x:b/>
        <x:color rgb="FF15803D"/>
      </x:font>
      <x:fill>
        <x:patternFill patternType="solid">
          <x:bgColor rgb="FFEAF7EE"/>
        </x:patternFill>
      </x:fill>
    </x:dxf>
    <x:dxf>
      <x:font>
        <x:b/>
        <x:color rgb="FFD97706"/>
      </x:font>
      <x:fill>
        <x:patternFill patternType="solid">
          <x:bgColor rgb="FFFFF8DB"/>
        </x:patternFill>
      </x:fill>
    </x:dxf>
    <x:dxf>
      <x:font>
        <x:b/>
        <x:color rgb="FFB91C1C"/>
      </x:font>
      <x:fill>
        <x:patternFill patternType="solid">
          <x:bgColor rgb="FFFDECEC"/>
        </x:patternFill>
      </x:fill>
    </x:dxf>
    <x:dxf>
      <x:font>
        <x:b/>
        <x:color rgb="FF15803D"/>
      </x:font>
      <x:fill>
        <x:patternFill patternType="solid">
          <x:bgColor rgb="FFEAF7EE"/>
        </x:patternFill>
      </x:fill>
    </x:dxf>
    <x:dxf>
      <x:font>
        <x:b/>
        <x:color rgb="FF2563EB"/>
      </x:font>
      <x:fill>
        <x:patternFill patternType="solid">
          <x:bgColor rgb="FFEAF2FF"/>
        </x:patternFill>
      </x:fill>
    </x:dxf>
    <x:dxf>
      <x:font>
        <x:b/>
        <x:color rgb="FFB91C1C"/>
      </x:font>
      <x:fill>
        <x:patternFill patternType="solid">
          <x:bgColor rgb="FFFDECEC"/>
        </x:patternFill>
      </x:fill>
    </x:dxf>
    <x:dxf>
      <x:font>
        <x:b/>
        <x:color rgb="FFB91C1C"/>
      </x:font>
      <x:fill>
        <x:patternFill patternType="solid">
          <x:bgColor rgb="FFFDECEC"/>
        </x:patternFill>
      </x:fill>
    </x:dxf>
    <x:dxf>
      <x:font>
        <x:b/>
        <x:color rgb="FFD97706"/>
      </x:font>
      <x:fill>
        <x:patternFill patternType="solid">
          <x:bgColor rgb="FFFFF8DB"/>
        </x:patternFill>
      </x:fill>
    </x:dxf>
    <x:dxf>
      <x:font>
        <x:b/>
        <x:color rgb="FF15803D"/>
      </x:font>
      <x:fill>
        <x:patternFill patternType="solid">
          <x:bgColor rgb="FFEAF7EE"/>
        </x:patternFill>
      </x:fill>
    </x:dxf>
    <x:dxf>
      <x:font>
        <x:b/>
        <x:color rgb="FFB91C1C"/>
      </x:font>
      <x:fill>
        <x:patternFill patternType="solid">
          <x:bgColor rgb="FFFDECEC"/>
        </x:patternFill>
      </x:fill>
    </x:dxf>
    <x:dxf>
      <x:font>
        <x:b/>
        <x:color rgb="FF15803D"/>
      </x:font>
      <x:fill>
        <x:patternFill patternType="solid">
          <x:bgColor rgb="FFEAF7EE"/>
        </x:patternFill>
      </x:fill>
    </x:dxf>
    <x:dxf>
      <x:font>
        <x:b/>
        <x:color rgb="FF15803D"/>
      </x:font>
      <x:fill>
        <x:patternFill patternType="solid">
          <x:bgColor rgb="FFEAF7EE"/>
        </x:patternFill>
      </x:fill>
    </x:dxf>
    <x:dxf>
      <x:font>
        <x:b/>
        <x:color rgb="FFD97706"/>
      </x:font>
      <x:fill>
        <x:patternFill patternType="solid">
          <x:bgColor rgb="FFFFF8DB"/>
        </x:patternFill>
      </x:fill>
    </x:dxf>
    <x:dxf>
      <x:font>
        <x:b/>
        <x:color rgb="FFB91C1C"/>
      </x:font>
      <x:fill>
        <x:patternFill patternType="solid">
          <x:bgColor rgb="FFFDECEC"/>
        </x:patternFill>
      </x:fill>
    </x:dxf>
    <x:dxf>
      <x:font>
        <x:b/>
        <x:color rgb="FF15803D"/>
      </x:font>
      <x:fill>
        <x:patternFill patternType="solid">
          <x:bgColor rgb="FFEAF7EE"/>
        </x:patternFill>
      </x:fill>
    </x:dxf>
    <x:dxf>
      <x:font>
        <x:b/>
        <x:color rgb="FFD97706"/>
      </x:font>
      <x:fill>
        <x:patternFill patternType="solid">
          <x:bgColor rgb="FFFFF8DB"/>
        </x:patternFill>
      </x:fill>
    </x:dxf>
    <x:dxf>
      <x:font>
        <x:b/>
        <x:color rgb="FFB91C1C"/>
      </x:font>
      <x:fill>
        <x:patternFill patternType="solid">
          <x:bgColor rgb="FFFDECEC"/>
        </x:patternFill>
      </x:fill>
    </x:dxf>
    <x:dxf>
      <x:font>
        <x:b/>
        <x:color rgb="FFB91C1C"/>
      </x:font>
      <x:fill>
        <x:patternFill patternType="solid">
          <x:bgColor rgb="FFFDECEC"/>
        </x:patternFill>
      </x:fill>
    </x:dxf>
    <x:dxf>
      <x:font>
        <x:b/>
        <x:color rgb="FFD97706"/>
      </x:font>
      <x:fill>
        <x:patternFill patternType="solid">
          <x:bgColor rgb="FFFFF8DB"/>
        </x:patternFill>
      </x:fill>
    </x:dxf>
    <x:dxf>
      <x:font>
        <x:b/>
        <x:color rgb="FF15803D"/>
      </x:font>
      <x:fill>
        <x:patternFill patternType="solid">
          <x:bgColor rgb="FFEAF7EE"/>
        </x:patternFill>
      </x:fill>
    </x:dxf>
    <x:dxf>
      <x:font>
        <x:b/>
        <x:color rgb="FF15803D"/>
      </x:font>
      <x:fill>
        <x:patternFill patternType="solid">
          <x:bgColor rgb="FFEAF7EE"/>
        </x:patternFill>
      </x:fill>
    </x:dxf>
    <x:dxf>
      <x:font>
        <x:b/>
        <x:color rgb="FFD97706"/>
      </x:font>
      <x:fill>
        <x:patternFill patternType="solid">
          <x:bgColor rgb="FFFFF8DB"/>
        </x:patternFill>
      </x:fill>
    </x:dxf>
    <x:dxf>
      <x:font>
        <x:b/>
        <x:color rgb="FFB91C1C"/>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c7f09ce584417b" /><Relationship Type="http://schemas.openxmlformats.org/officeDocument/2006/relationships/theme" Target="/xl/theme/theme1.xml" Id="Ra8dd9a0774b0463c" /><Relationship Type="http://schemas.openxmlformats.org/officeDocument/2006/relationships/sharedStrings" Target="/xl/sharedStrings.xml" Id="R491e209cbb3745e2" /><Relationship Type="http://schemas.openxmlformats.org/officeDocument/2006/relationships/worksheet" Target="/xl/worksheets/sheet1.xml" Id="R0e58628286d84c10" /><Relationship Type="http://schemas.openxmlformats.org/officeDocument/2006/relationships/worksheet" Target="/xl/worksheets/sheet2.xml" Id="R2452e823a80945e6" /><Relationship Type="http://schemas.openxmlformats.org/officeDocument/2006/relationships/worksheet" Target="/xl/worksheets/sheet3.xml" Id="Rd2e767fa30754b59" /><Relationship Type="http://schemas.openxmlformats.org/officeDocument/2006/relationships/worksheet" Target="/xl/worksheets/sheet4.xml" Id="Rad359d6ea4394fb2" /><Relationship Type="http://schemas.openxmlformats.org/officeDocument/2006/relationships/worksheet" Target="/xl/worksheets/sheet5.xml" Id="Rd89462fc69c64860" /><Relationship Type="http://schemas.openxmlformats.org/officeDocument/2006/relationships/worksheet" Target="/xl/worksheets/sheet6.xml" Id="R8618881133dc4fac" /></Relationships>
</file>

<file path=xl/drawings/_rels/drawing1.xml.rels>&#65279;<?xml version="1.0" encoding="utf-8"?><Relationships xmlns="http://schemas.openxmlformats.org/package/2006/relationships"><Relationship Type="http://schemas.openxmlformats.org/officeDocument/2006/relationships/chart" Target="/xl/drawings/charts/chart1.xml" Id="R24ec026459754a7b" /><Relationship Type="http://schemas.openxmlformats.org/officeDocument/2006/relationships/chart" Target="/xl/drawings/charts/chart2.xml" Id="R0a760d93217a480c" /></Relationships>
</file>

<file path=xl/drawings/_rels/drawing2.xml.rels>&#65279;<?xml version="1.0" encoding="utf-8"?><Relationships xmlns="http://schemas.openxmlformats.org/package/2006/relationships"><Relationship Type="http://schemas.openxmlformats.org/officeDocument/2006/relationships/chart" Target="/xl/drawings/charts/chart3.xml" Id="R7f3c46440b0e4fe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每日新题与复做结构</a:t>
            </a:r>
          </a:p>
        </c:rich>
      </c:tx>
      <c:overlay val="0"/>
    </c:title>
    <c:autoTitleDeleted val="0"/>
    <c:plotArea>
      <c:layout/>
      <c:barChart>
        <c:barDir val="col"/>
        <c:grouping val="stacked"/>
        <c:varyColors val="0"/>
        <c:ser>
          <c:idx val="0"/>
          <c:order val="0"/>
          <c:tx>
            <c:v>新题</c:v>
          </c:tx>
          <c:cat>
            <c:strRef>
              <c:f>'每日总览'!$A$7:$A$66</c:f>
              <c:strCache>
                <c:ptCount val="0"/>
              </c:strCache>
            </c:strRef>
          </c:cat>
          <c:val>
            <c:numRef>
              <c:f>'每日总览'!$C$7:$C$66</c:f>
              <c:numCache>
                <c:formatCode>General</c:formatCode>
                <c:ptCount val="0"/>
              </c:numCache>
            </c:numRef>
          </c:val>
        </c:ser>
        <c:ser>
          <c:idx val="1"/>
          <c:order val="1"/>
          <c:tx>
            <c:v>复做</c:v>
          </c:tx>
          <c:cat>
            <c:strRef>
              <c:f>'每日总览'!$A$7:$A$66</c:f>
              <c:strCache>
                <c:ptCount val="0"/>
              </c:strCache>
            </c:strRef>
          </c:cat>
          <c:val>
            <c:numRef>
              <c:f>'每日总览'!$D$7:$D$66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5"/>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每日完成率</a:t>
            </a:r>
          </a:p>
        </c:rich>
      </c:tx>
      <c:overlay val="0"/>
    </c:title>
    <c:autoTitleDeleted val="0"/>
    <c:plotArea>
      <c:layout/>
      <c:lineChart>
        <c:grouping val="standard"/>
        <c:ser>
          <c:idx val="0"/>
          <c:order val="0"/>
          <c:tx>
            <c:v>完成率</c:v>
          </c:tx>
          <c:cat>
            <c:strRef>
              <c:f>'每日总览'!$A$7:$A$66</c:f>
              <c:strCache>
                <c:ptCount val="0"/>
              </c:strCache>
            </c:strRef>
          </c:cat>
          <c:val>
            <c:numRef>
              <c:f>'每日总览'!$H$7:$H$66</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5"/>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核心题考点覆盖</a:t>
            </a:r>
          </a:p>
        </c:rich>
      </c:tx>
      <c:overlay val="0"/>
    </c:title>
    <c:autoTitleDeleted val="0"/>
    <c:plotArea>
      <c:layout/>
      <c:barChart>
        <c:barDir val="bar"/>
        <c:grouping val="clustered"/>
        <c:varyColors val="0"/>
        <c:ser>
          <c:idx val="0"/>
          <c:order val="0"/>
          <c:tx>
            <c:v>核心题数</c:v>
          </c:tx>
          <c:cat>
            <c:strRef>
              <c:f>'题型覆盖'!$A$5:$A$22</c:f>
              <c:strCache>
                <c:ptCount val="0"/>
              </c:strCache>
            </c:strRef>
          </c:cat>
          <c:val>
            <c:numRef>
              <c:f>'题型覆盖'!$B$5:$B$22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13</xdr:col>
      <xdr:colOff>0</xdr:colOff>
      <xdr:row>3</xdr:row>
      <xdr:rowOff>0</xdr:rowOff>
    </xdr:from>
    <xdr:to>
      <xdr:col>23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ec026459754a7b"/>
        </a:graphicData>
      </a:graphic>
    </xdr:graphicFrame>
    <xdr:clientData/>
  </xdr:twoCellAnchor>
  <xdr:twoCellAnchor>
    <xdr:from>
      <xdr:col>13</xdr:col>
      <xdr:colOff>0</xdr:colOff>
      <xdr:row>21</xdr:row>
      <xdr:rowOff>0</xdr:rowOff>
    </xdr:from>
    <xdr:to>
      <xdr:col>23</xdr:col>
      <xdr:colOff>0</xdr:colOff>
      <xdr:row>38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a760d93217a480c"/>
        </a:graphicData>
      </a:graphic>
    </xdr:graphicFrame>
    <xdr:clientData/>
  </xdr:twoCellAnchor>
</xdr:wsDr>
</file>

<file path=xl/drawings/drawing2.xml><?xml version="1.0" encoding="utf-8"?>
<xdr:wsDr xmlns:xdr="http://schemas.openxmlformats.org/drawingml/2006/spreadsheetDrawing">
  <xdr:twoCellAnchor>
    <xdr:from>
      <xdr:col>11</xdr:col>
      <xdr:colOff>0</xdr:colOff>
      <xdr:row>3</xdr:row>
      <xdr:rowOff>0</xdr:rowOff>
    </xdr:from>
    <xdr:to>
      <xdr:col>19</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3c46440b0e4fe1"/>
        </a:graphicData>
      </a:graphic>
    </xdr:graphicFrame>
    <xdr:clientData/>
  </xdr:twoCellAnchor>
</xdr:wsDr>
</file>

<file path=xl/tables/table1.xml><?xml version="1.0" encoding="utf-8"?>
<x:table xmlns:x="http://schemas.openxmlformats.org/spreadsheetml/2006/main" id="1" name="RoadmapTable" displayName="RoadmapTable" ref="A4:W304" headerRowCount="1">
  <x:tableColumns count="23">
    <x:tableColumn id="1" name="天数"/>
    <x:tableColumn id="2" name="阶段"/>
    <x:tableColumn id="3" name="当日题次"/>
    <x:tableColumn id="4" name="训练类型"/>
    <x:tableColumn id="5" name="当日角色"/>
    <x:tableColumn id="6" name="距首次天数"/>
    <x:tableColumn id="7" name="距上次天数"/>
    <x:tableColumn id="8" name="题号"/>
    <x:tableColumn id="9" name="中文题名"/>
    <x:tableColumn id="10" name="English Title"/>
    <x:tableColumn id="11" name="难度"/>
    <x:tableColumn id="12" name="考点大类"/>
    <x:tableColumn id="13" name="主专题"/>
    <x:tableColumn id="14" name="核心模式"/>
    <x:tableColumn id="15" name="来源"/>
    <x:tableColumn id="16" name="建议限时"/>
    <x:tableColumn id="17" name="执行动作"/>
    <x:tableColumn id="18" name="状态"/>
    <x:tableColumn id="19" name="独立完成分"/>
    <x:tableColumn id="20" name="实际用时"/>
    <x:tableColumn id="21" name="错误标签"/>
    <x:tableColumn id="22" name="复盘笔记"/>
    <x:tableColumn id="23" name="题目链接"/>
  </x:tableColumns>
  <x:tableStyleInfo name="TableStyleMedium2" showRowStripes="1"/>
</x:table>
</file>

<file path=xl/tables/table2.xml><?xml version="1.0" encoding="utf-8"?>
<x:table xmlns:x="http://schemas.openxmlformats.org/spreadsheetml/2006/main" id="2" name="DailyTable" displayName="DailyTable" ref="A6:L66" headerRowCount="1">
  <x:tableColumns count="12">
    <x:tableColumn id="1" name="天数"/>
    <x:tableColumn id="2" name="阶段"/>
    <x:tableColumn id="3" name="新题数"/>
    <x:tableColumn id="4" name="复做数"/>
    <x:tableColumn id="5" name="计划题数"/>
    <x:tableColumn id="6" name="计划限时"/>
    <x:tableColumn id="7" name="已完成数"/>
    <x:tableColumn id="8" name="完成率"/>
    <x:tableColumn id="9" name="平均独立分"/>
    <x:tableColumn id="10" name="实际用时"/>
    <x:tableColumn id="11" name="当日重点"/>
    <x:tableColumn id="12" name="当日复盘"/>
  </x:tableColumns>
  <x:tableStyleInfo name="TableStyleMedium2" showRowStripes="1"/>
</x:table>
</file>

<file path=xl/tables/table3.xml><?xml version="1.0" encoding="utf-8"?>
<x:table xmlns:x="http://schemas.openxmlformats.org/spreadsheetml/2006/main" id="3" name="CoreProblemsTable" displayName="CoreProblemsTable" ref="A4:R104" headerRowCount="1">
  <x:tableColumns count="18">
    <x:tableColumn id="1" name="序号"/>
    <x:tableColumn id="2" name="题号"/>
    <x:tableColumn id="3" name="中文题名"/>
    <x:tableColumn id="4" name="English Title"/>
    <x:tableColumn id="5" name="难度"/>
    <x:tableColumn id="6" name="考点大类"/>
    <x:tableColumn id="7" name="主专题"/>
    <x:tableColumn id="8" name="核心模式"/>
    <x:tableColumn id="9" name="来源"/>
    <x:tableColumn id="10" name="首做日"/>
    <x:tableColumn id="11" name="短间隔复做日"/>
    <x:tableColumn id="12" name="长间隔复做日"/>
    <x:tableColumn id="13" name="首次间隔"/>
    <x:tableColumn id="14" name="长期间隔"/>
    <x:tableColumn id="15" name="两次复做间隔"/>
    <x:tableColumn id="16" name="新题限时"/>
    <x:tableColumn id="17" name="题目链接"/>
    <x:tableColumn id="18" name="来源链接"/>
  </x:tableColumns>
  <x:tableStyleInfo name="TableStyleMedium2" showRowStripes="1"/>
</x:table>
</file>

<file path=xl/tables/table4.xml><?xml version="1.0" encoding="utf-8"?>
<x:table xmlns:x="http://schemas.openxmlformats.org/spreadsheetml/2006/main" id="4" name="TopicCoverageTable" displayName="TopicCoverageTable" ref="A4:D22" headerRowCount="1">
  <x:tableColumns count="4">
    <x:tableColumn id="1" name="考点大类"/>
    <x:tableColumn id="2" name="核心题数"/>
    <x:tableColumn id="3" name="训练次数"/>
    <x:tableColumn id="4" name="占比"/>
  </x:tableColumns>
  <x:tableStyleInfo name="TableStyleMedium2" showRowStripes="1"/>
</x:table>
</file>

<file path=xl/tables/table5.xml><?xml version="1.0" encoding="utf-8"?>
<x:table xmlns:x="http://schemas.openxmlformats.org/spreadsheetml/2006/main" id="5" name="DetailedCoverageTable" displayName="DetailedCoverageTable" ref="A27:D61" headerRowCount="1">
  <x:tableColumns count="4">
    <x:tableColumn id="1" name="主专题"/>
    <x:tableColumn id="2" name="核心题数"/>
    <x:tableColumn id="3" name="训练次数"/>
    <x:tableColumn id="4" name="占比"/>
  </x:tableColumns>
  <x:tableStyleInfo name="TableStyleMedium2" showRowStripes="1"/>
</x:table>
</file>

<file path=xl/tables/table6.xml><?xml version="1.0" encoding="utf-8"?>
<x:table xmlns:x="http://schemas.openxmlformats.org/spreadsheetml/2006/main" id="6" name="ErrorReviewTable" displayName="ErrorReviewTable" ref="A4:M104" headerRowCount="1">
  <x:tableColumns count="13">
    <x:tableColumn id="1" name="登记日期"/>
    <x:tableColumn id="2" name="计划日"/>
    <x:tableColumn id="3" name="题号"/>
    <x:tableColumn id="4" name="题目"/>
    <x:tableColumn id="5" name="当次得分"/>
    <x:tableColumn id="6" name="错误类型"/>
    <x:tableColumn id="7" name="根因"/>
    <x:tableColumn id="8" name="正确不变量"/>
    <x:tableColumn id="9" name="最小反例"/>
    <x:tableColumn id="10" name="修正方案"/>
    <x:tableColumn id="11" name="建议加练日"/>
    <x:tableColumn id="12" name="修复状态"/>
    <x:tableColumn id="13" name="面试表达"/>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66f05a1a124e2b" /></Relationships>
</file>

<file path=xl/worksheets/_rels/sheet3.xml.rels>&#65279;<?xml version="1.0" encoding="utf-8"?><Relationships xmlns="http://schemas.openxmlformats.org/package/2006/relationships"><Relationship Type="http://schemas.openxmlformats.org/officeDocument/2006/relationships/drawing" Target="/xl/drawings/drawing1.xml" Id="R1a9dd32c71b94012" /><Relationship Type="http://schemas.openxmlformats.org/officeDocument/2006/relationships/table" Target="/xl/tables/table2.xml" Id="Re3e10024bbde4015" /></Relationships>
</file>

<file path=xl/worksheets/_rels/sheet4.xml.rels>&#65279;<?xml version="1.0" encoding="utf-8"?><Relationships xmlns="http://schemas.openxmlformats.org/package/2006/relationships"><Relationship Type="http://schemas.openxmlformats.org/officeDocument/2006/relationships/table" Target="/xl/tables/table3.xml" Id="R7feb81bc62a142c3" /></Relationships>
</file>

<file path=xl/worksheets/_rels/sheet5.xml.rels>&#65279;<?xml version="1.0" encoding="utf-8"?><Relationships xmlns="http://schemas.openxmlformats.org/package/2006/relationships"><Relationship Type="http://schemas.openxmlformats.org/officeDocument/2006/relationships/drawing" Target="/xl/drawings/drawing2.xml" Id="R7073249874fe49ea" /><Relationship Type="http://schemas.openxmlformats.org/officeDocument/2006/relationships/table" Target="/xl/tables/table4.xml" Id="Rf3578063fc864bd3" /><Relationship Type="http://schemas.openxmlformats.org/officeDocument/2006/relationships/table" Target="/xl/tables/table5.xml" Id="R9358458eac994dee" /></Relationships>
</file>

<file path=xl/worksheets/_rels/sheet6.xml.rels>&#65279;<?xml version="1.0" encoding="utf-8"?><Relationships xmlns="http://schemas.openxmlformats.org/package/2006/relationships"><Relationship Type="http://schemas.openxmlformats.org/officeDocument/2006/relationships/table" Target="/xl/tables/table6.xml" Id="R6d6065e3af244935" /></Relationships>
</file>

<file path=xl/worksheets/sheet1.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22" hidden="0" customWidth="1"/>
    <x:col min="8" max="8" width="22" hidden="0" customWidth="1"/>
  </x:cols>
  <x:sheetData>
    <x:row r="1" ht="36" customHeight="1">
      <x:c r="A1" s="5" t="str">
        <x:v>LeetCode 六十天美国面试刷题路线图</x:v>
      </x:c>
      <x:c r="B1" s="5"/>
      <x:c r="C1" s="5"/>
      <x:c r="D1" s="5"/>
      <x:c r="E1" s="5"/>
      <x:c r="F1" s="5"/>
      <x:c r="G1" s="5"/>
      <x:c r="H1" s="5"/>
    </x:row>
    <x:row r="2" ht="24" customHeight="1">
      <x:c r="A2" s="13" t="str">
        <x:v>每天五题，采用专题递进、主动回忆、短间隔盲写与长间隔盲写，覆盖美国软件工程面试高频考点</x:v>
      </x:c>
      <x:c r="B2" s="13"/>
      <x:c r="C2" s="13"/>
      <x:c r="D2" s="13"/>
      <x:c r="E2" s="13"/>
      <x:c r="F2" s="13"/>
      <x:c r="G2" s="13"/>
      <x:c r="H2" s="13"/>
    </x:row>
    <x:row r="4" ht="28" customHeight="1">
      <x:c r="A4" s="24" t="str">
        <x:v>计划天数</x:v>
      </x:c>
      <x:c r="B4" s="40" t="n">
        <x:v>60</x:v>
      </x:c>
      <x:c r="C4" s="24" t="str">
        <x:v>每日任务</x:v>
      </x:c>
      <x:c r="D4" s="40" t="n">
        <x:v>5</x:v>
      </x:c>
      <x:c r="E4" s="24" t="str">
        <x:v>核心题数</x:v>
      </x:c>
      <x:c r="F4" s="40" t="n">
        <x:v>100</x:v>
      </x:c>
      <x:c r="G4" s="24" t="str">
        <x:v>总训练次数</x:v>
      </x:c>
      <x:c r="H4" s="40" t="n">
        <x:v>300</x:v>
      </x:c>
    </x:row>
    <x:row r="5" ht="28" customHeight="1">
      <x:c r="A5" s="25" t="str">
        <x:v>首次学习</x:v>
      </x:c>
      <x:c r="B5" s="41" t="n">
        <x:v>100</x:v>
      </x:c>
      <x:c r="C5" s="25" t="str">
        <x:v>盲写复做</x:v>
      </x:c>
      <x:c r="D5" s="41" t="n">
        <x:v>200</x:v>
      </x:c>
      <x:c r="E5" s="25" t="str">
        <x:v>预计总时长</x:v>
      </x:c>
      <x:c r="F5" s="50" t="n">
        <x:v>94.6</x:v>
      </x:c>
      <x:c r="G5" s="25" t="str">
        <x:v>日均限时</x:v>
      </x:c>
      <x:c r="H5" s="52" t="n">
        <x:v>95</x:v>
      </x:c>
    </x:row>
    <x:row r="7">
      <x:c r="A7" s="57" t="str">
        <x:v>一 计划设计</x:v>
      </x:c>
      <x:c r="B7" s="57"/>
      <x:c r="C7" s="57"/>
      <x:c r="D7" s="57"/>
      <x:c r="E7" s="57"/>
      <x:c r="F7" s="57"/>
      <x:c r="G7" s="57"/>
      <x:c r="H7" s="57"/>
    </x:row>
    <x:row r="8" ht="40" customHeight="1">
      <x:c r="A8" s="98" t="n">
        <x:v>1</x:v>
      </x:c>
      <x:c r="B8" s="104" t="str">
        <x:v>题单融合</x:v>
      </x:c>
      <x:c r="C8" s="110" t="str">
        <x:v>代码随想录提供从基础数据结构到回溯、贪心、动态规划、单调栈和图论的专题递进。Grind 75提供美国面试常见题型的优先级与跨专题交错顺序。</x:v>
      </x:c>
      <x:c r="D8" s="111"/>
      <x:c r="E8" s="111"/>
      <x:c r="F8" s="111"/>
      <x:c r="G8" s="111"/>
      <x:c r="H8" s="111"/>
    </x:row>
    <x:row r="9" ht="40" customHeight="1">
      <x:c r="A9" s="99" t="n">
        <x:v>2</x:v>
      </x:c>
      <x:c r="B9" s="105" t="str">
        <x:v>训练总量</x:v>
      </x:c>
      <x:c r="C9" s="112" t="str">
        <x:v>一百道核心题，每题首次学习一次、短间隔盲写一次、长间隔盲写一次，共三百次训练，恰好覆盖六十天每天五题。</x:v>
      </x:c>
      <x:c r="D9" s="111"/>
      <x:c r="E9" s="111"/>
      <x:c r="F9" s="111"/>
      <x:c r="G9" s="111"/>
      <x:c r="H9" s="111"/>
    </x:row>
    <x:row r="10" ht="40" customHeight="1">
      <x:c r="A10" s="99" t="n">
        <x:v>3</x:v>
      </x:c>
      <x:c r="B10" s="105" t="str">
        <x:v>间隔策略</x:v>
      </x:c>
      <x:c r="C10" s="112" t="str">
        <x:v>不采用固定神奇数字。首次复做安排在首次学习后的一至十天内，第二次复做安排在十五至二十八天内，并保证两次复做之间至少七天。</x:v>
      </x:c>
      <x:c r="D10" s="111"/>
      <x:c r="E10" s="111"/>
      <x:c r="F10" s="111"/>
      <x:c r="G10" s="111"/>
      <x:c r="H10" s="111"/>
    </x:row>
    <x:row r="11" ht="40" customHeight="1">
      <x:c r="A11" s="99" t="n">
        <x:v>4</x:v>
      </x:c>
      <x:c r="B11" s="105" t="str">
        <x:v>交错策略</x:v>
      </x:c>
      <x:c r="C11" s="112" t="str">
        <x:v>同一天尽量混合不同考点，避免连续多天只刷一个专题。前四十五天逐步引入新题，后十五天只做限时复做与错题回收。</x:v>
      </x:c>
      <x:c r="D11" s="111"/>
      <x:c r="E11" s="111"/>
      <x:c r="F11" s="111"/>
      <x:c r="G11" s="111"/>
      <x:c r="H11" s="111"/>
    </x:row>
    <x:row r="12" ht="40" customHeight="1">
      <x:c r="A12" s="100" t="n">
        <x:v>5</x:v>
      </x:c>
      <x:c r="B12" s="106" t="str">
        <x:v>面试策略</x:v>
      </x:c>
      <x:c r="C12" s="113" t="str">
        <x:v>每次提交前必须口述模式、关键不变量、时间复杂度、空间复杂度、边界条件和一种可替代方案。</x:v>
      </x:c>
      <x:c r="D12" s="111"/>
      <x:c r="E12" s="111"/>
      <x:c r="F12" s="111"/>
      <x:c r="G12" s="111"/>
      <x:c r="H12" s="111"/>
    </x:row>
    <x:row r="14">
      <x:c r="A14" s="57" t="str">
        <x:v>二 每道题的执行流程</x:v>
      </x:c>
      <x:c r="B14" s="57"/>
      <x:c r="C14" s="57"/>
      <x:c r="D14" s="57"/>
      <x:c r="E14" s="57"/>
      <x:c r="F14" s="57"/>
      <x:c r="G14" s="57"/>
      <x:c r="H14" s="57"/>
    </x:row>
    <x:row r="15" ht="42" customHeight="1">
      <x:c r="A15" s="128" t="str">
        <x:v>步骤</x:v>
      </x:c>
      <x:c r="B15" s="129" t="str">
        <x:v>建议时长</x:v>
      </x:c>
      <x:c r="C15" s="128" t="str">
        <x:v>动作</x:v>
      </x:c>
      <x:c r="D15" s="130"/>
      <x:c r="E15" s="129"/>
      <x:c r="F15" s="129" t="str">
        <x:v>可验收输出</x:v>
      </x:c>
      <x:c r="G15" s="129"/>
      <x:c r="H15" s="130"/>
    </x:row>
    <x:row r="16" ht="42" customHeight="1">
      <x:c r="A16" s="98" t="n">
        <x:v>1</x:v>
      </x:c>
      <x:c r="B16" s="144" t="str">
        <x:v>二分钟</x:v>
      </x:c>
      <x:c r="C16" s="229" t="str">
        <x:v>复述题意，写出输入输出、约束和至少一个边界样例</x:v>
      </x:c>
      <x:c r="D16" s="110"/>
      <x:c r="E16" s="150"/>
      <x:c r="F16" s="150" t="str">
        <x:v>能准确说明题目，不急着写代码</x:v>
      </x:c>
      <x:c r="G16" s="150"/>
      <x:c r="H16" s="110"/>
    </x:row>
    <x:row r="17" ht="42" customHeight="1">
      <x:c r="A17" s="99" t="n">
        <x:v>2</x:v>
      </x:c>
      <x:c r="B17" s="145" t="str">
        <x:v>三分钟</x:v>
      </x:c>
      <x:c r="C17" s="232" t="str">
        <x:v>先说暴力法，再定位瓶颈并识别核心模式</x:v>
      </x:c>
      <x:c r="D17" s="112"/>
      <x:c r="E17" s="151"/>
      <x:c r="F17" s="151" t="str">
        <x:v>写出暴力复杂度和优化方向</x:v>
      </x:c>
      <x:c r="G17" s="151"/>
      <x:c r="H17" s="112"/>
    </x:row>
    <x:row r="18" ht="42" customHeight="1">
      <x:c r="A18" s="99" t="n">
        <x:v>3</x:v>
      </x:c>
      <x:c r="B18" s="145" t="str">
        <x:v>按路线图限时</x:v>
      </x:c>
      <x:c r="C18" s="232" t="str">
        <x:v>空白编辑器独立编码。复做时禁止查看旧代码</x:v>
      </x:c>
      <x:c r="D18" s="112"/>
      <x:c r="E18" s="151"/>
      <x:c r="F18" s="151" t="str">
        <x:v>在限时内通过主要样例</x:v>
      </x:c>
      <x:c r="G18" s="151"/>
      <x:c r="H18" s="112"/>
    </x:row>
    <x:row r="19" ht="42" customHeight="1">
      <x:c r="A19" s="99" t="n">
        <x:v>4</x:v>
      </x:c>
      <x:c r="B19" s="145" t="str">
        <x:v>三分钟</x:v>
      </x:c>
      <x:c r="C19" s="232" t="str">
        <x:v>解释正确性、不变量、复杂度和可替代实现</x:v>
      </x:c>
      <x:c r="D19" s="112"/>
      <x:c r="E19" s="151"/>
      <x:c r="F19" s="151" t="str">
        <x:v>能像面试现场一样完整表达</x:v>
      </x:c>
      <x:c r="G19" s="151"/>
      <x:c r="H19" s="112"/>
    </x:row>
    <x:row r="20" ht="42" customHeight="1">
      <x:c r="A20" s="100" t="n">
        <x:v>5</x:v>
      </x:c>
      <x:c r="B20" s="146" t="str">
        <x:v>二分钟</x:v>
      </x:c>
      <x:c r="C20" s="234" t="str">
        <x:v>打分并记录错误标签。分数为零或一时进入错题复盘表</x:v>
      </x:c>
      <x:c r="D20" s="113"/>
      <x:c r="E20" s="152"/>
      <x:c r="F20" s="152" t="str">
        <x:v>形成下一次可执行修正动作</x:v>
      </x:c>
      <x:c r="G20" s="152"/>
      <x:c r="H20" s="113"/>
    </x:row>
    <x:row r="22">
      <x:c r="A22" s="57" t="str">
        <x:v>三 独立完成评分</x:v>
      </x:c>
      <x:c r="B22" s="57"/>
      <x:c r="C22" s="57"/>
      <x:c r="D22" s="57"/>
      <x:c r="E22" s="57"/>
      <x:c r="F22" s="57"/>
      <x:c r="G22" s="57"/>
      <x:c r="H22" s="57"/>
    </x:row>
    <x:row r="23" ht="38" customHeight="1">
      <x:c r="A23" s="128" t="str">
        <x:v>分数</x:v>
      </x:c>
      <x:c r="B23" s="128" t="str">
        <x:v>判定标准</x:v>
      </x:c>
      <x:c r="C23" s="130"/>
      <x:c r="D23" s="129"/>
      <x:c r="E23" s="129" t="str">
        <x:v>后续动作</x:v>
      </x:c>
      <x:c r="F23" s="129"/>
      <x:c r="G23" s="129"/>
      <x:c r="H23" s="130"/>
    </x:row>
    <x:row r="24" ht="38" customHeight="1">
      <x:c r="A24" s="156" t="n">
        <x:v>0</x:v>
      </x:c>
      <x:c r="B24" s="229" t="str">
        <x:v>看题解后仍不能独立复现，或无法解释核心不变量</x:v>
      </x:c>
      <x:c r="C24" s="110"/>
      <x:c r="D24" s="150"/>
      <x:c r="E24" s="150" t="str">
        <x:v>当天登记错题，次日先做五分钟口述回忆</x:v>
      </x:c>
      <x:c r="F24" s="150"/>
      <x:c r="G24" s="150"/>
      <x:c r="H24" s="110"/>
    </x:row>
    <x:row r="25" ht="38" customHeight="1">
      <x:c r="A25" s="158" t="n">
        <x:v>1</x:v>
      </x:c>
      <x:c r="B25" s="232" t="str">
        <x:v>能说出部分思路，但需要关键提示或代码无法独立完成</x:v>
      </x:c>
      <x:c r="C25" s="112"/>
      <x:c r="D25" s="151"/>
      <x:c r="E25" s="151" t="str">
        <x:v>四十八小时内补一次不看代码的手写框架</x:v>
      </x:c>
      <x:c r="F25" s="151"/>
      <x:c r="G25" s="151"/>
      <x:c r="H25" s="112"/>
    </x:row>
    <x:row r="26" ht="38" customHeight="1">
      <x:c r="A26" s="160" t="n">
        <x:v>2</x:v>
      </x:c>
      <x:c r="B26" s="232" t="str">
        <x:v>独立完成，但超时、调试较多或表达不完整</x:v>
      </x:c>
      <x:c r="C26" s="112"/>
      <x:c r="D26" s="151"/>
      <x:c r="E26" s="151" t="str">
        <x:v>下次复做前先口述边界和复杂度</x:v>
      </x:c>
      <x:c r="F26" s="151"/>
      <x:c r="G26" s="151"/>
      <x:c r="H26" s="112"/>
    </x:row>
    <x:row r="27" ht="38" customHeight="1">
      <x:c r="A27" s="162" t="n">
        <x:v>3</x:v>
      </x:c>
      <x:c r="B27" s="234" t="str">
        <x:v>限时内独立完成，并能清楚解释正确性、复杂度和替代方案</x:v>
      </x:c>
      <x:c r="C27" s="113"/>
      <x:c r="D27" s="152"/>
      <x:c r="E27" s="152" t="str">
        <x:v>保持原计划，不额外加练</x:v>
      </x:c>
      <x:c r="F27" s="152"/>
      <x:c r="G27" s="152"/>
      <x:c r="H27" s="113"/>
    </x:row>
    <x:row r="29">
      <x:c r="A29" s="57" t="str">
        <x:v>四 六个阶段的节奏</x:v>
      </x:c>
      <x:c r="B29" s="57"/>
      <x:c r="C29" s="57"/>
      <x:c r="D29" s="57"/>
      <x:c r="E29" s="57"/>
      <x:c r="F29" s="57"/>
      <x:c r="G29" s="57"/>
      <x:c r="H29" s="57"/>
    </x:row>
    <x:row r="30" ht="32" customHeight="1">
      <x:c r="A30" s="128" t="str">
        <x:v>阶段</x:v>
      </x:c>
      <x:c r="B30" s="129" t="str">
        <x:v>天数</x:v>
      </x:c>
      <x:c r="C30" s="129" t="str">
        <x:v>每日新题</x:v>
      </x:c>
      <x:c r="D30" s="129" t="str">
        <x:v>每日复做</x:v>
      </x:c>
      <x:c r="E30" s="130" t="str">
        <x:v>主要目标</x:v>
      </x:c>
    </x:row>
    <x:row r="31" ht="32" customHeight="1">
      <x:c r="A31" s="98" t="str">
        <x:v>阶段一 基础模式与语言热身</x:v>
      </x:c>
      <x:c r="B31" s="144" t="str">
        <x:v>第一至第八天</x:v>
      </x:c>
      <x:c r="C31" s="144" t="str">
        <x:v>首日五题，其余三题</x:v>
      </x:c>
      <x:c r="D31" s="144" t="str">
        <x:v>首日零题，其余两题</x:v>
      </x:c>
      <x:c r="E31" s="110" t="str">
        <x:v>建立数组、哈希、链表、栈、树和二分的基础语言</x:v>
      </x:c>
      <x:c r="F31" s="111"/>
      <x:c r="G31" s="111"/>
      <x:c r="H31" s="111"/>
    </x:row>
    <x:row r="32" ht="32" customHeight="1">
      <x:c r="A32" s="99" t="str">
        <x:v>阶段二 高频中等题主干</x:v>
      </x:c>
      <x:c r="B32" s="145" t="str">
        <x:v>第九至第二十天</x:v>
      </x:c>
      <x:c r="C32" s="145" t="str">
        <x:v>两题</x:v>
      </x:c>
      <x:c r="D32" s="145" t="str">
        <x:v>三题</x:v>
      </x:c>
      <x:c r="E32" s="112" t="str">
        <x:v>扩大高频中等题模式，开始稳定限时表达</x:v>
      </x:c>
      <x:c r="F32" s="111"/>
      <x:c r="G32" s="111"/>
      <x:c r="H32" s="111"/>
    </x:row>
    <x:row r="33" ht="32" customHeight="1">
      <x:c r="A33" s="99" t="str">
        <x:v>阶段三 树图动态规划深化</x:v>
      </x:c>
      <x:c r="B33" s="145" t="str">
        <x:v>第二十一至第三十三天</x:v>
      </x:c>
      <x:c r="C33" s="145" t="str">
        <x:v>两题</x:v>
      </x:c>
      <x:c r="D33" s="145" t="str">
        <x:v>三题</x:v>
      </x:c>
      <x:c r="E33" s="112" t="str">
        <x:v>深化树、图、回溯和动态规划，强化状态定义</x:v>
      </x:c>
      <x:c r="F33" s="111"/>
      <x:c r="G33" s="111"/>
      <x:c r="H33" s="111"/>
    </x:row>
    <x:row r="34" ht="32" customHeight="1">
      <x:c r="A34" s="99" t="str">
        <x:v>阶段四 专题补强与难题</x:v>
      </x:c>
      <x:c r="B34" s="145" t="str">
        <x:v>第三十四至第四十五天</x:v>
      </x:c>
      <x:c r="C34" s="145" t="str">
        <x:v>两题</x:v>
      </x:c>
      <x:c r="D34" s="145" t="str">
        <x:v>三题</x:v>
      </x:c>
      <x:c r="E34" s="112" t="str">
        <x:v>补齐区间、堆、单调结构、位运算和困难题</x:v>
      </x:c>
      <x:c r="F34" s="111"/>
      <x:c r="G34" s="111"/>
      <x:c r="H34" s="111"/>
    </x:row>
    <x:row r="35" ht="32" customHeight="1">
      <x:c r="A35" s="99" t="str">
        <x:v>阶段五 交错限时模拟</x:v>
      </x:c>
      <x:c r="B35" s="145" t="str">
        <x:v>第四十六至第五十二天</x:v>
      </x:c>
      <x:c r="C35" s="145" t="str">
        <x:v>零题</x:v>
      </x:c>
      <x:c r="D35" s="145" t="str">
        <x:v>五题</x:v>
      </x:c>
      <x:c r="E35" s="112" t="str">
        <x:v>跨专题限时模拟，减少依赖最近记忆</x:v>
      </x:c>
      <x:c r="F35" s="111"/>
      <x:c r="G35" s="111"/>
      <x:c r="H35" s="111"/>
    </x:row>
    <x:row r="36" ht="32" customHeight="1">
      <x:c r="A36" s="100" t="str">
        <x:v>阶段六 面试冲刺与错题回收</x:v>
      </x:c>
      <x:c r="B36" s="146" t="str">
        <x:v>第五十三至第六十天</x:v>
      </x:c>
      <x:c r="C36" s="146" t="str">
        <x:v>零题</x:v>
      </x:c>
      <x:c r="D36" s="146" t="str">
        <x:v>五题</x:v>
      </x:c>
      <x:c r="E36" s="113" t="str">
        <x:v>面试冲刺，回收低分题和高频模式</x:v>
      </x:c>
      <x:c r="F36" s="111"/>
      <x:c r="G36" s="111"/>
      <x:c r="H36" s="111"/>
    </x:row>
    <x:row r="38">
      <x:c r="A38" s="57" t="str">
        <x:v>五 资料与研究依据</x:v>
      </x:c>
      <x:c r="B38" s="57"/>
      <x:c r="C38" s="57"/>
      <x:c r="D38" s="57"/>
      <x:c r="E38" s="57"/>
      <x:c r="F38" s="57"/>
      <x:c r="G38" s="57"/>
      <x:c r="H38" s="57"/>
    </x:row>
    <x:row r="39" ht="36" customHeight="1">
      <x:c r="A39" s="128" t="str">
        <x:v>资料</x:v>
      </x:c>
      <x:c r="B39" s="129" t="str">
        <x:v>本计划采用的要点</x:v>
      </x:c>
      <x:c r="C39" s="129"/>
      <x:c r="D39" s="129"/>
      <x:c r="E39" s="129"/>
      <x:c r="F39" s="129"/>
      <x:c r="G39" s="129" t="str">
        <x:v>网址</x:v>
      </x:c>
      <x:c r="H39" s="130"/>
    </x:row>
    <x:row r="40" ht="36" customHeight="1">
      <x:c r="A40" s="71" t="str">
        <x:v>代码随想录主页</x:v>
      </x:c>
      <x:c r="B40" s="150" t="str">
        <x:v>采用其专题学习顺序和由基础数据结构逐步进入算法专题的组织方式</x:v>
      </x:c>
      <x:c r="C40" s="150"/>
      <x:c r="D40" s="150"/>
      <x:c r="E40" s="150"/>
      <x:c r="F40" s="150"/>
      <x:c r="G40" s="150" t="str">
        <x:v>https://programmercarl.com/</x:v>
      </x:c>
      <x:c r="H40" s="110"/>
    </x:row>
    <x:row r="41" ht="36" customHeight="1">
      <x:c r="A41" s="74" t="str">
        <x:v>代码随想录题单</x:v>
      </x:c>
      <x:c r="B41" s="151" t="str">
        <x:v>用于补齐链表、回溯、贪心、动态规划、单调结构和图论代表题</x:v>
      </x:c>
      <x:c r="C41" s="151"/>
      <x:c r="D41" s="151"/>
      <x:c r="E41" s="151"/>
      <x:c r="F41" s="151"/>
      <x:c r="G41" s="151" t="str">
        <x:v>https://programmercarl.com/qita/12.list.html</x:v>
      </x:c>
      <x:c r="H41" s="112"/>
    </x:row>
    <x:row r="42" ht="36" customHeight="1">
      <x:c r="A42" s="74" t="str">
        <x:v>Grind 75题单</x:v>
      </x:c>
      <x:c r="B42" s="151" t="str">
        <x:v>采用其高频核心题与美国面试常见题型优先级</x:v>
      </x:c>
      <x:c r="C42" s="151"/>
      <x:c r="D42" s="151"/>
      <x:c r="E42" s="151"/>
      <x:c r="F42" s="151"/>
      <x:c r="G42" s="151" t="str">
        <x:v>https://www.techinterviewhandbook.org/grind75/</x:v>
      </x:c>
      <x:c r="H42" s="112"/>
    </x:row>
    <x:row r="43" ht="36" customHeight="1">
      <x:c r="A43" s="74" t="str">
        <x:v>Grind 75说明</x:v>
      </x:c>
      <x:c r="B43" s="151" t="str">
        <x:v>参考题目选择、难度排序、主题覆盖与建议解题时长</x:v>
      </x:c>
      <x:c r="C43" s="151"/>
      <x:c r="D43" s="151"/>
      <x:c r="E43" s="151"/>
      <x:c r="F43" s="151"/>
      <x:c r="G43" s="151" t="str">
        <x:v>https://www.techinterviewhandbook.org/grind75/about</x:v>
      </x:c>
      <x:c r="H43" s="112"/>
    </x:row>
    <x:row r="44" ht="36" customHeight="1">
      <x:c r="A44" s="74" t="str">
        <x:v>Grind 75常见问题</x:v>
      </x:c>
      <x:c r="B44" s="151" t="str">
        <x:v>参考跨主题顺序、常见中等难度和二十至三十分钟限时建议</x:v>
      </x:c>
      <x:c r="C44" s="151"/>
      <x:c r="D44" s="151"/>
      <x:c r="E44" s="151"/>
      <x:c r="F44" s="151"/>
      <x:c r="G44" s="151" t="str">
        <x:v>https://www.techinterviewhandbook.org/grind75/faq</x:v>
      </x:c>
      <x:c r="H44" s="112"/>
    </x:row>
    <x:row r="45" ht="36" customHeight="1">
      <x:c r="A45" s="74" t="str">
        <x:v>间隔练习研究</x:v>
      </x:c>
      <x:c r="B45" s="151" t="str">
        <x:v>复习间隔应随目标保留时间增长，本计划据此使用短窗口和长窗口</x:v>
      </x:c>
      <x:c r="C45" s="151"/>
      <x:c r="D45" s="151"/>
      <x:c r="E45" s="151"/>
      <x:c r="F45" s="151"/>
      <x:c r="G45" s="151" t="str">
        <x:v>https://pubmed.ncbi.nlm.nih.gov/19076480/</x:v>
      </x:c>
      <x:c r="H45" s="112"/>
    </x:row>
    <x:row r="46" ht="36" customHeight="1">
      <x:c r="A46" s="74" t="str">
        <x:v>分散练习综述</x:v>
      </x:c>
      <x:c r="B46" s="151" t="str">
        <x:v>分散学习相对集中学习具有稳定的长期记忆优势</x:v>
      </x:c>
      <x:c r="C46" s="151"/>
      <x:c r="D46" s="151"/>
      <x:c r="E46" s="151"/>
      <x:c r="F46" s="151"/>
      <x:c r="G46" s="151" t="str">
        <x:v>https://pubmed.ncbi.nlm.nih.gov/16507066/</x:v>
      </x:c>
      <x:c r="H46" s="112"/>
    </x:row>
    <x:row r="47" ht="36" customHeight="1">
      <x:c r="A47" s="77" t="str">
        <x:v>主动回忆研究</x:v>
      </x:c>
      <x:c r="B47" s="152" t="str">
        <x:v>用测试和独立提取替代单纯重读，长期保持更强</x:v>
      </x:c>
      <x:c r="C47" s="152"/>
      <x:c r="D47" s="152"/>
      <x:c r="E47" s="152"/>
      <x:c r="F47" s="152"/>
      <x:c r="G47" s="152" t="str">
        <x:v>https://pubmed.ncbi.nlm.nih.gov/26173288/</x:v>
      </x:c>
      <x:c r="H47" s="113"/>
    </x:row>
  </x:sheetData>
  <x:mergeCells>
    <x:mergeCell ref="A1:H1"/>
    <x:mergeCell ref="A2:H2"/>
    <x:mergeCell ref="A7:H7"/>
    <x:mergeCell ref="C8:H8"/>
    <x:mergeCell ref="C9:H9"/>
    <x:mergeCell ref="C10:H10"/>
    <x:mergeCell ref="C11:H11"/>
    <x:mergeCell ref="C12:H12"/>
    <x:mergeCell ref="A14:H14"/>
    <x:mergeCell ref="A22:H22"/>
    <x:mergeCell ref="A29:H29"/>
    <x:mergeCell ref="E30:H30"/>
    <x:mergeCell ref="E31:H31"/>
    <x:mergeCell ref="E32:H32"/>
    <x:mergeCell ref="E33:H33"/>
    <x:mergeCell ref="E34:H34"/>
    <x:mergeCell ref="E35:H35"/>
    <x:mergeCell ref="E36:H36"/>
    <x:mergeCell ref="A38:H38"/>
    <x:mergeCell ref="B39:F39"/>
    <x:mergeCell ref="G39:H39"/>
    <x:mergeCell ref="B40:F40"/>
    <x:mergeCell ref="G40:H40"/>
    <x:mergeCell ref="B41:F41"/>
    <x:mergeCell ref="G41:H41"/>
    <x:mergeCell ref="B42:F42"/>
    <x:mergeCell ref="G42:H42"/>
    <x:mergeCell ref="B43:F43"/>
    <x:mergeCell ref="G43:H43"/>
    <x:mergeCell ref="B44:F44"/>
    <x:mergeCell ref="G44:H44"/>
    <x:mergeCell ref="B45:F45"/>
    <x:mergeCell ref="G45:H45"/>
    <x:mergeCell ref="B46:F46"/>
    <x:mergeCell ref="G46:H46"/>
    <x:mergeCell ref="B47:F47"/>
    <x:mergeCell ref="G47:H47"/>
    <x:mergeCell ref="C15:E15"/>
    <x:mergeCell ref="F15:H15"/>
    <x:mergeCell ref="C16:E16"/>
    <x:mergeCell ref="F16:H16"/>
    <x:mergeCell ref="C17:E17"/>
    <x:mergeCell ref="F17:H17"/>
    <x:mergeCell ref="C18:E18"/>
    <x:mergeCell ref="F18:H18"/>
    <x:mergeCell ref="C19:E19"/>
    <x:mergeCell ref="F19:H19"/>
    <x:mergeCell ref="C20:E20"/>
    <x:mergeCell ref="F20:H20"/>
    <x:mergeCell ref="B23:D23"/>
    <x:mergeCell ref="E23:H23"/>
    <x:mergeCell ref="B24:D24"/>
    <x:mergeCell ref="E24:H24"/>
    <x:mergeCell ref="B25:D25"/>
    <x:mergeCell ref="E25:H25"/>
    <x:mergeCell ref="B26:D26"/>
    <x:mergeCell ref="E26:H26"/>
    <x:mergeCell ref="B27:D27"/>
    <x:mergeCell ref="E27:H27"/>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24" hidden="0" customWidth="1"/>
    <x:col min="3" max="3" width="9" hidden="0" customWidth="1"/>
    <x:col min="4" max="4" width="14" hidden="0" customWidth="1"/>
    <x:col min="5" max="5" width="13" hidden="0" customWidth="1"/>
    <x:col min="6" max="6" width="11" hidden="0" customWidth="1"/>
    <x:col min="7" max="7" width="11" hidden="0" customWidth="1"/>
    <x:col min="8" max="8" width="9" hidden="0" customWidth="1"/>
    <x:col min="9" max="9" width="22" hidden="0" customWidth="1"/>
    <x:col min="10" max="10" width="27" hidden="0" customWidth="1"/>
    <x:col min="11" max="11" width="9" hidden="0" customWidth="1"/>
    <x:col min="12" max="12" width="18" hidden="0" customWidth="1"/>
    <x:col min="13" max="13" width="19" hidden="0" customWidth="1"/>
    <x:col min="14" max="14" width="25" hidden="0" customWidth="1"/>
    <x:col min="15" max="15" width="18" hidden="0" customWidth="1"/>
    <x:col min="16" max="16" width="11" hidden="0" customWidth="1"/>
    <x:col min="17" max="17" width="42" hidden="0" customWidth="1"/>
    <x:col min="18" max="18" width="11" hidden="0" customWidth="1"/>
    <x:col min="19" max="19" width="13" hidden="0" customWidth="1"/>
    <x:col min="20" max="20" width="11" hidden="0" customWidth="1"/>
    <x:col min="21" max="21" width="16" hidden="0" customWidth="1"/>
    <x:col min="22" max="22" width="34" hidden="0" customWidth="1"/>
    <x:col min="23" max="23" width="40" hidden="0" customWidth="1"/>
  </x:cols>
  <x:sheetData>
    <x:row r="1" ht="36" customHeight="1">
      <x:c r="A1" s="5" t="str">
        <x:v>六十天每日五题路线图</x:v>
      </x:c>
      <x:c r="B1" s="5"/>
      <x:c r="C1" s="5"/>
      <x:c r="D1" s="5"/>
      <x:c r="E1" s="5"/>
      <x:c r="F1" s="5"/>
      <x:c r="G1" s="5"/>
      <x:c r="H1" s="5"/>
      <x:c r="I1" s="5"/>
      <x:c r="J1" s="5"/>
      <x:c r="K1" s="5"/>
      <x:c r="L1" s="5"/>
      <x:c r="M1" s="5"/>
      <x:c r="N1" s="5"/>
      <x:c r="O1" s="5"/>
      <x:c r="P1" s="5"/>
      <x:c r="Q1" s="5"/>
      <x:c r="R1" s="5"/>
      <x:c r="S1" s="5"/>
      <x:c r="T1" s="5"/>
      <x:c r="U1" s="5"/>
      <x:c r="V1" s="5"/>
      <x:c r="W1" s="5"/>
    </x:row>
    <x:row r="2" ht="24" customHeight="1">
      <x:c r="A2" s="13" t="str">
        <x:v>状态、得分、实际用时、错误标签和复盘笔记均可直接填写。复做必须使用空白编辑器，不查看旧代码。</x:v>
      </x:c>
      <x:c r="B2" s="13"/>
      <x:c r="C2" s="13"/>
      <x:c r="D2" s="13"/>
      <x:c r="E2" s="13"/>
      <x:c r="F2" s="13"/>
      <x:c r="G2" s="13"/>
      <x:c r="H2" s="13"/>
      <x:c r="I2" s="13"/>
      <x:c r="J2" s="13"/>
      <x:c r="K2" s="13"/>
      <x:c r="L2" s="13"/>
      <x:c r="M2" s="13"/>
      <x:c r="N2" s="13"/>
      <x:c r="O2" s="13"/>
      <x:c r="P2" s="13"/>
      <x:c r="Q2" s="13"/>
      <x:c r="R2" s="13"/>
      <x:c r="S2" s="13"/>
      <x:c r="T2" s="13"/>
      <x:c r="U2" s="13"/>
      <x:c r="V2" s="13"/>
      <x:c r="W2" s="13"/>
    </x:row>
    <x:row r="4" ht="36" customHeight="1">
      <x:c r="A4" s="128" t="str">
        <x:v>天数</x:v>
      </x:c>
      <x:c r="B4" s="129" t="str">
        <x:v>阶段</x:v>
      </x:c>
      <x:c r="C4" s="129" t="str">
        <x:v>当日题次</x:v>
      </x:c>
      <x:c r="D4" s="129" t="str">
        <x:v>训练类型</x:v>
      </x:c>
      <x:c r="E4" s="129" t="str">
        <x:v>当日角色</x:v>
      </x:c>
      <x:c r="F4" s="129" t="str">
        <x:v>距首次天数</x:v>
      </x:c>
      <x:c r="G4" s="129" t="str">
        <x:v>距上次天数</x:v>
      </x:c>
      <x:c r="H4" s="129" t="str">
        <x:v>题号</x:v>
      </x:c>
      <x:c r="I4" s="129" t="str">
        <x:v>中文题名</x:v>
      </x:c>
      <x:c r="J4" s="129" t="str">
        <x:v>English Title</x:v>
      </x:c>
      <x:c r="K4" s="129" t="str">
        <x:v>难度</x:v>
      </x:c>
      <x:c r="L4" s="129" t="str">
        <x:v>考点大类</x:v>
      </x:c>
      <x:c r="M4" s="129" t="str">
        <x:v>主专题</x:v>
      </x:c>
      <x:c r="N4" s="129" t="str">
        <x:v>核心模式</x:v>
      </x:c>
      <x:c r="O4" s="129" t="str">
        <x:v>来源</x:v>
      </x:c>
      <x:c r="P4" s="129" t="str">
        <x:v>建议限时</x:v>
      </x:c>
      <x:c r="Q4" s="129" t="str">
        <x:v>执行动作</x:v>
      </x:c>
      <x:c r="R4" s="129" t="str">
        <x:v>状态</x:v>
      </x:c>
      <x:c r="S4" s="129" t="str">
        <x:v>独立完成分</x:v>
      </x:c>
      <x:c r="T4" s="129" t="str">
        <x:v>实际用时</x:v>
      </x:c>
      <x:c r="U4" s="129" t="str">
        <x:v>错误标签</x:v>
      </x:c>
      <x:c r="V4" s="129" t="str">
        <x:v>复盘笔记</x:v>
      </x:c>
      <x:c r="W4" s="130" t="str">
        <x:v>题目链接</x:v>
      </x:c>
    </x:row>
    <x:row r="5" ht="34" customHeight="1">
      <x:c r="A5" s="98" t="n">
        <x:v>1</x:v>
      </x:c>
      <x:c r="B5" s="144" t="str">
        <x:v>阶段一 基础模式与语言热身</x:v>
      </x:c>
      <x:c r="C5" s="144" t="n">
        <x:v>1</x:v>
      </x:c>
      <x:c r="D5" s="144" t="str">
        <x:v>新题</x:v>
      </x:c>
      <x:c r="E5" s="144" t="str">
        <x:v>基础建模一</x:v>
      </x:c>
      <x:c r="F5" s="144" t="n">
        <x:v>0</x:v>
      </x:c>
      <x:c r="G5" s="144" t="n">
        <x:v>0</x:v>
      </x:c>
      <x:c r="H5" s="144" t="n">
        <x:v>1</x:v>
      </x:c>
      <x:c r="I5" s="150" t="str">
        <x:v>两数之和</x:v>
      </x:c>
      <x:c r="J5" s="150" t="str">
        <x:v>Two Sum</x:v>
      </x:c>
      <x:c r="K5" s="144" t="str">
        <x:v>简单</x:v>
      </x:c>
      <x:c r="L5" s="144" t="str">
        <x:v>数组与哈希</x:v>
      </x:c>
      <x:c r="M5" s="144" t="str">
        <x:v>数组与哈希</x:v>
      </x:c>
      <x:c r="N5" s="164" t="str">
        <x:v>哈希表查补数</x:v>
      </x:c>
      <x:c r="O5" s="164" t="str">
        <x:v>Grind 75核心</x:v>
      </x:c>
      <x:c r="P5" s="170" t="n">
        <x:v>15</x:v>
      </x:c>
      <x:c r="Q5" s="150" t="str">
        <x:v>盲做并先口述暴力法与优化方向，到时停笔，完成后写复杂度、边界与可追问点</x:v>
      </x:c>
      <x:c r="R5" s="144" t="str">
        <x:v>未开始</x:v>
      </x:c>
      <x:c r="S5" s="144"/>
      <x:c r="T5" s="176"/>
      <x:c r="U5" s="144"/>
      <x:c r="V5" s="150"/>
      <x:c r="W5" s="110" t="str">
        <x:v>https://leetcode.com/problems/two-sum/</x:v>
      </x:c>
    </x:row>
    <x:row r="6" ht="34" customHeight="1">
      <x:c r="A6" s="99" t="n">
        <x:v>1</x:v>
      </x:c>
      <x:c r="B6" s="145" t="str">
        <x:v>阶段一 基础模式与语言热身</x:v>
      </x:c>
      <x:c r="C6" s="145" t="n">
        <x:v>2</x:v>
      </x:c>
      <x:c r="D6" s="145" t="str">
        <x:v>新题</x:v>
      </x:c>
      <x:c r="E6" s="145" t="str">
        <x:v>基础建模二</x:v>
      </x:c>
      <x:c r="F6" s="145" t="n">
        <x:v>0</x:v>
      </x:c>
      <x:c r="G6" s="145" t="n">
        <x:v>0</x:v>
      </x:c>
      <x:c r="H6" s="145" t="n">
        <x:v>20</x:v>
      </x:c>
      <x:c r="I6" s="151" t="str">
        <x:v>有效的括号</x:v>
      </x:c>
      <x:c r="J6" s="151" t="str">
        <x:v>Valid Parentheses</x:v>
      </x:c>
      <x:c r="K6" s="145" t="str">
        <x:v>简单</x:v>
      </x:c>
      <x:c r="L6" s="145" t="str">
        <x:v>栈与队列</x:v>
      </x:c>
      <x:c r="M6" s="145" t="str">
        <x:v>栈与队列</x:v>
      </x:c>
      <x:c r="N6" s="165" t="str">
        <x:v>栈与括号匹配</x:v>
      </x:c>
      <x:c r="O6" s="165" t="str">
        <x:v>Grind 75核心</x:v>
      </x:c>
      <x:c r="P6" s="171" t="n">
        <x:v>20</x:v>
      </x:c>
      <x:c r="Q6" s="151" t="str">
        <x:v>盲做并先口述暴力法与优化方向，到时停笔，完成后写复杂度、边界与可追问点</x:v>
      </x:c>
      <x:c r="R6" s="145" t="str">
        <x:v>未开始</x:v>
      </x:c>
      <x:c r="S6" s="145"/>
      <x:c r="T6" s="177"/>
      <x:c r="U6" s="145"/>
      <x:c r="V6" s="151"/>
      <x:c r="W6" s="112" t="str">
        <x:v>https://leetcode.com/problems/valid-parentheses/</x:v>
      </x:c>
    </x:row>
    <x:row r="7" ht="34" customHeight="1">
      <x:c r="A7" s="99" t="n">
        <x:v>1</x:v>
      </x:c>
      <x:c r="B7" s="145" t="str">
        <x:v>阶段一 基础模式与语言热身</x:v>
      </x:c>
      <x:c r="C7" s="145" t="n">
        <x:v>3</x:v>
      </x:c>
      <x:c r="D7" s="145" t="str">
        <x:v>新题</x:v>
      </x:c>
      <x:c r="E7" s="145" t="str">
        <x:v>基础建模三</x:v>
      </x:c>
      <x:c r="F7" s="145" t="n">
        <x:v>0</x:v>
      </x:c>
      <x:c r="G7" s="145" t="n">
        <x:v>0</x:v>
      </x:c>
      <x:c r="H7" s="145" t="n">
        <x:v>21</x:v>
      </x:c>
      <x:c r="I7" s="151" t="str">
        <x:v>合并两个有序链表</x:v>
      </x:c>
      <x:c r="J7" s="151" t="str">
        <x:v>Merge Two Sorted Lists</x:v>
      </x:c>
      <x:c r="K7" s="145" t="str">
        <x:v>简单</x:v>
      </x:c>
      <x:c r="L7" s="145" t="str">
        <x:v>链表</x:v>
      </x:c>
      <x:c r="M7" s="145" t="str">
        <x:v>链表</x:v>
      </x:c>
      <x:c r="N7" s="165" t="str">
        <x:v>归并双指针</x:v>
      </x:c>
      <x:c r="O7" s="165" t="str">
        <x:v>Grind 75核心</x:v>
      </x:c>
      <x:c r="P7" s="171" t="n">
        <x:v>20</x:v>
      </x:c>
      <x:c r="Q7" s="151" t="str">
        <x:v>盲做并先口述暴力法与优化方向，到时停笔，完成后写复杂度、边界与可追问点</x:v>
      </x:c>
      <x:c r="R7" s="145" t="str">
        <x:v>未开始</x:v>
      </x:c>
      <x:c r="S7" s="145"/>
      <x:c r="T7" s="177"/>
      <x:c r="U7" s="145"/>
      <x:c r="V7" s="151"/>
      <x:c r="W7" s="112" t="str">
        <x:v>https://leetcode.com/problems/merge-two-sorted-lists/</x:v>
      </x:c>
    </x:row>
    <x:row r="8" ht="34" customHeight="1">
      <x:c r="A8" s="99" t="n">
        <x:v>1</x:v>
      </x:c>
      <x:c r="B8" s="145" t="str">
        <x:v>阶段一 基础模式与语言热身</x:v>
      </x:c>
      <x:c r="C8" s="145" t="n">
        <x:v>4</x:v>
      </x:c>
      <x:c r="D8" s="145" t="str">
        <x:v>新题</x:v>
      </x:c>
      <x:c r="E8" s="145" t="str">
        <x:v>基础建模四</x:v>
      </x:c>
      <x:c r="F8" s="145" t="n">
        <x:v>0</x:v>
      </x:c>
      <x:c r="G8" s="145" t="n">
        <x:v>0</x:v>
      </x:c>
      <x:c r="H8" s="145" t="n">
        <x:v>121</x:v>
      </x:c>
      <x:c r="I8" s="151" t="str">
        <x:v>买卖股票的最佳时机</x:v>
      </x:c>
      <x:c r="J8" s="151" t="str">
        <x:v>Best Time to Buy and Sell Stock</x:v>
      </x:c>
      <x:c r="K8" s="145" t="str">
        <x:v>简单</x:v>
      </x:c>
      <x:c r="L8" s="145" t="str">
        <x:v>贪心与区间</x:v>
      </x:c>
      <x:c r="M8" s="145" t="str">
        <x:v>数组与贪心</x:v>
      </x:c>
      <x:c r="N8" s="165" t="str">
        <x:v>维护历史最小值</x:v>
      </x:c>
      <x:c r="O8" s="165" t="str">
        <x:v>Grind 75核心</x:v>
      </x:c>
      <x:c r="P8" s="171" t="n">
        <x:v>20</x:v>
      </x:c>
      <x:c r="Q8" s="151" t="str">
        <x:v>盲做并先口述暴力法与优化方向，到时停笔，完成后写复杂度、边界与可追问点</x:v>
      </x:c>
      <x:c r="R8" s="145" t="str">
        <x:v>未开始</x:v>
      </x:c>
      <x:c r="S8" s="145"/>
      <x:c r="T8" s="177"/>
      <x:c r="U8" s="145"/>
      <x:c r="V8" s="151"/>
      <x:c r="W8" s="112" t="str">
        <x:v>https://leetcode.com/problems/best-time-to-buy-and-sell-stock/</x:v>
      </x:c>
    </x:row>
    <x:row r="9" ht="34" customHeight="1">
      <x:c r="A9" s="99" t="n">
        <x:v>1</x:v>
      </x:c>
      <x:c r="B9" s="145" t="str">
        <x:v>阶段一 基础模式与语言热身</x:v>
      </x:c>
      <x:c r="C9" s="145" t="n">
        <x:v>5</x:v>
      </x:c>
      <x:c r="D9" s="145" t="str">
        <x:v>新题</x:v>
      </x:c>
      <x:c r="E9" s="145" t="str">
        <x:v>基础建模五</x:v>
      </x:c>
      <x:c r="F9" s="145" t="n">
        <x:v>0</x:v>
      </x:c>
      <x:c r="G9" s="145" t="n">
        <x:v>0</x:v>
      </x:c>
      <x:c r="H9" s="145" t="n">
        <x:v>125</x:v>
      </x:c>
      <x:c r="I9" s="151" t="str">
        <x:v>验证回文串</x:v>
      </x:c>
      <x:c r="J9" s="151" t="str">
        <x:v>Valid Palindrome</x:v>
      </x:c>
      <x:c r="K9" s="145" t="str">
        <x:v>简单</x:v>
      </x:c>
      <x:c r="L9" s="145" t="str">
        <x:v>双指针</x:v>
      </x:c>
      <x:c r="M9" s="145" t="str">
        <x:v>字符串与双指针</x:v>
      </x:c>
      <x:c r="N9" s="165" t="str">
        <x:v>对撞指针</x:v>
      </x:c>
      <x:c r="O9" s="165" t="str">
        <x:v>Grind 75核心</x:v>
      </x:c>
      <x:c r="P9" s="171" t="n">
        <x:v>15</x:v>
      </x:c>
      <x:c r="Q9" s="151" t="str">
        <x:v>盲做并先口述暴力法与优化方向，到时停笔，完成后写复杂度、边界与可追问点</x:v>
      </x:c>
      <x:c r="R9" s="145" t="str">
        <x:v>未开始</x:v>
      </x:c>
      <x:c r="S9" s="145"/>
      <x:c r="T9" s="177"/>
      <x:c r="U9" s="145"/>
      <x:c r="V9" s="151"/>
      <x:c r="W9" s="112" t="str">
        <x:v>https://leetcode.com/problems/valid-palindrome/</x:v>
      </x:c>
    </x:row>
    <x:row r="10" ht="34" customHeight="1">
      <x:c r="A10" s="99" t="n">
        <x:v>2</x:v>
      </x:c>
      <x:c r="B10" s="145" t="str">
        <x:v>阶段一 基础模式与语言热身</x:v>
      </x:c>
      <x:c r="C10" s="145" t="n">
        <x:v>1</x:v>
      </x:c>
      <x:c r="D10" s="145" t="str">
        <x:v>短间隔复做</x:v>
      </x:c>
      <x:c r="E10" s="145" t="str">
        <x:v>主动回忆热身</x:v>
      </x:c>
      <x:c r="F10" s="145" t="n">
        <x:v>1</x:v>
      </x:c>
      <x:c r="G10" s="145" t="n">
        <x:v>1</x:v>
      </x:c>
      <x:c r="H10" s="145" t="n">
        <x:v>20</x:v>
      </x:c>
      <x:c r="I10" s="151" t="str">
        <x:v>有效的括号</x:v>
      </x:c>
      <x:c r="J10" s="151" t="str">
        <x:v>Valid Parentheses</x:v>
      </x:c>
      <x:c r="K10" s="145" t="str">
        <x:v>简单</x:v>
      </x:c>
      <x:c r="L10" s="145" t="str">
        <x:v>栈与队列</x:v>
      </x:c>
      <x:c r="M10" s="145" t="str">
        <x:v>栈与队列</x:v>
      </x:c>
      <x:c r="N10" s="165" t="str">
        <x:v>栈与括号匹配</x:v>
      </x:c>
      <x:c r="O10" s="165" t="str">
        <x:v>Grind 75核心</x:v>
      </x:c>
      <x:c r="P10" s="171" t="n">
        <x:v>13</x:v>
      </x:c>
      <x:c r="Q10" s="151" t="str">
        <x:v>空白编辑器重写，禁止看旧代码，卡住五分钟后只看最小提示</x:v>
      </x:c>
      <x:c r="R10" s="145" t="str">
        <x:v>未开始</x:v>
      </x:c>
      <x:c r="S10" s="145"/>
      <x:c r="T10" s="177"/>
      <x:c r="U10" s="145"/>
      <x:c r="V10" s="151"/>
      <x:c r="W10" s="112" t="str">
        <x:v>https://leetcode.com/problems/valid-parentheses/</x:v>
      </x:c>
    </x:row>
    <x:row r="11" ht="34" customHeight="1">
      <x:c r="A11" s="99" t="n">
        <x:v>2</x:v>
      </x:c>
      <x:c r="B11" s="145" t="str">
        <x:v>阶段一 基础模式与语言热身</x:v>
      </x:c>
      <x:c r="C11" s="145" t="n">
        <x:v>2</x:v>
      </x:c>
      <x:c r="D11" s="145" t="str">
        <x:v>新题</x:v>
      </x:c>
      <x:c r="E11" s="145" t="str">
        <x:v>主练一</x:v>
      </x:c>
      <x:c r="F11" s="145" t="n">
        <x:v>0</x:v>
      </x:c>
      <x:c r="G11" s="145" t="n">
        <x:v>0</x:v>
      </x:c>
      <x:c r="H11" s="145" t="n">
        <x:v>226</x:v>
      </x:c>
      <x:c r="I11" s="151" t="str">
        <x:v>翻转二叉树</x:v>
      </x:c>
      <x:c r="J11" s="151" t="str">
        <x:v>Invert Binary Tree</x:v>
      </x:c>
      <x:c r="K11" s="145" t="str">
        <x:v>简单</x:v>
      </x:c>
      <x:c r="L11" s="145" t="str">
        <x:v>树与递归</x:v>
      </x:c>
      <x:c r="M11" s="145" t="str">
        <x:v>二叉树</x:v>
      </x:c>
      <x:c r="N11" s="165" t="str">
        <x:v>递归遍历</x:v>
      </x:c>
      <x:c r="O11" s="165" t="str">
        <x:v>Grind 75核心</x:v>
      </x:c>
      <x:c r="P11" s="171" t="n">
        <x:v>15</x:v>
      </x:c>
      <x:c r="Q11" s="151" t="str">
        <x:v>盲做并先口述暴力法与优化方向，到时停笔，完成后写复杂度、边界与可追问点</x:v>
      </x:c>
      <x:c r="R11" s="145" t="str">
        <x:v>未开始</x:v>
      </x:c>
      <x:c r="S11" s="145"/>
      <x:c r="T11" s="177"/>
      <x:c r="U11" s="145"/>
      <x:c r="V11" s="151"/>
      <x:c r="W11" s="112" t="str">
        <x:v>https://leetcode.com/problems/invert-binary-tree/</x:v>
      </x:c>
    </x:row>
    <x:row r="12" ht="34" customHeight="1">
      <x:c r="A12" s="99" t="n">
        <x:v>2</x:v>
      </x:c>
      <x:c r="B12" s="145" t="str">
        <x:v>阶段一 基础模式与语言热身</x:v>
      </x:c>
      <x:c r="C12" s="145" t="n">
        <x:v>3</x:v>
      </x:c>
      <x:c r="D12" s="145" t="str">
        <x:v>新题</x:v>
      </x:c>
      <x:c r="E12" s="145" t="str">
        <x:v>主练二</x:v>
      </x:c>
      <x:c r="F12" s="145" t="n">
        <x:v>0</x:v>
      </x:c>
      <x:c r="G12" s="145" t="n">
        <x:v>0</x:v>
      </x:c>
      <x:c r="H12" s="145" t="n">
        <x:v>242</x:v>
      </x:c>
      <x:c r="I12" s="151" t="str">
        <x:v>有效的字母异位词</x:v>
      </x:c>
      <x:c r="J12" s="151" t="str">
        <x:v>Valid Anagram</x:v>
      </x:c>
      <x:c r="K12" s="145" t="str">
        <x:v>简单</x:v>
      </x:c>
      <x:c r="L12" s="145" t="str">
        <x:v>数组与哈希</x:v>
      </x:c>
      <x:c r="M12" s="145" t="str">
        <x:v>数组与哈希</x:v>
      </x:c>
      <x:c r="N12" s="165" t="str">
        <x:v>字符频次计数</x:v>
      </x:c>
      <x:c r="O12" s="165" t="str">
        <x:v>Grind 75核心</x:v>
      </x:c>
      <x:c r="P12" s="171" t="n">
        <x:v>15</x:v>
      </x:c>
      <x:c r="Q12" s="151" t="str">
        <x:v>盲做并先口述暴力法与优化方向，到时停笔，完成后写复杂度、边界与可追问点</x:v>
      </x:c>
      <x:c r="R12" s="145" t="str">
        <x:v>未开始</x:v>
      </x:c>
      <x:c r="S12" s="145"/>
      <x:c r="T12" s="177"/>
      <x:c r="U12" s="145"/>
      <x:c r="V12" s="151"/>
      <x:c r="W12" s="112" t="str">
        <x:v>https://leetcode.com/problems/valid-anagram/</x:v>
      </x:c>
    </x:row>
    <x:row r="13" ht="34" customHeight="1">
      <x:c r="A13" s="99" t="n">
        <x:v>2</x:v>
      </x:c>
      <x:c r="B13" s="145" t="str">
        <x:v>阶段一 基础模式与语言热身</x:v>
      </x:c>
      <x:c r="C13" s="145" t="n">
        <x:v>4</x:v>
      </x:c>
      <x:c r="D13" s="145" t="str">
        <x:v>短间隔复做</x:v>
      </x:c>
      <x:c r="E13" s="145" t="str">
        <x:v>短测复做</x:v>
      </x:c>
      <x:c r="F13" s="145" t="n">
        <x:v>1</x:v>
      </x:c>
      <x:c r="G13" s="145" t="n">
        <x:v>1</x:v>
      </x:c>
      <x:c r="H13" s="145" t="n">
        <x:v>21</x:v>
      </x:c>
      <x:c r="I13" s="151" t="str">
        <x:v>合并两个有序链表</x:v>
      </x:c>
      <x:c r="J13" s="151" t="str">
        <x:v>Merge Two Sorted Lists</x:v>
      </x:c>
      <x:c r="K13" s="145" t="str">
        <x:v>简单</x:v>
      </x:c>
      <x:c r="L13" s="145" t="str">
        <x:v>链表</x:v>
      </x:c>
      <x:c r="M13" s="145" t="str">
        <x:v>链表</x:v>
      </x:c>
      <x:c r="N13" s="165" t="str">
        <x:v>归并双指针</x:v>
      </x:c>
      <x:c r="O13" s="165" t="str">
        <x:v>Grind 75核心</x:v>
      </x:c>
      <x:c r="P13" s="171" t="n">
        <x:v>13</x:v>
      </x:c>
      <x:c r="Q13" s="151" t="str">
        <x:v>空白编辑器重写，禁止看旧代码，卡住五分钟后只看最小提示</x:v>
      </x:c>
      <x:c r="R13" s="145" t="str">
        <x:v>未开始</x:v>
      </x:c>
      <x:c r="S13" s="145"/>
      <x:c r="T13" s="177"/>
      <x:c r="U13" s="145"/>
      <x:c r="V13" s="151"/>
      <x:c r="W13" s="112" t="str">
        <x:v>https://leetcode.com/problems/merge-two-sorted-lists/</x:v>
      </x:c>
    </x:row>
    <x:row r="14" ht="34" customHeight="1">
      <x:c r="A14" s="99" t="n">
        <x:v>2</x:v>
      </x:c>
      <x:c r="B14" s="145" t="str">
        <x:v>阶段一 基础模式与语言热身</x:v>
      </x:c>
      <x:c r="C14" s="145" t="n">
        <x:v>5</x:v>
      </x:c>
      <x:c r="D14" s="145" t="str">
        <x:v>新题</x:v>
      </x:c>
      <x:c r="E14" s="145" t="str">
        <x:v>主练三</x:v>
      </x:c>
      <x:c r="F14" s="145" t="n">
        <x:v>0</x:v>
      </x:c>
      <x:c r="G14" s="145" t="n">
        <x:v>0</x:v>
      </x:c>
      <x:c r="H14" s="145" t="n">
        <x:v>704</x:v>
      </x:c>
      <x:c r="I14" s="151" t="str">
        <x:v>二分查找</x:v>
      </x:c>
      <x:c r="J14" s="151" t="str">
        <x:v>Binary Search</x:v>
      </x:c>
      <x:c r="K14" s="145" t="str">
        <x:v>简单</x:v>
      </x:c>
      <x:c r="L14" s="145" t="str">
        <x:v>二分查找</x:v>
      </x:c>
      <x:c r="M14" s="145" t="str">
        <x:v>二分查找</x:v>
      </x:c>
      <x:c r="N14" s="165" t="str">
        <x:v>区间定义与循环不变量</x:v>
      </x:c>
      <x:c r="O14" s="165" t="str">
        <x:v>Grind 75核心</x:v>
      </x:c>
      <x:c r="P14" s="171" t="n">
        <x:v>15</x:v>
      </x:c>
      <x:c r="Q14" s="151" t="str">
        <x:v>盲做并先口述暴力法与优化方向，到时停笔，完成后写复杂度、边界与可追问点</x:v>
      </x:c>
      <x:c r="R14" s="145" t="str">
        <x:v>未开始</x:v>
      </x:c>
      <x:c r="S14" s="145"/>
      <x:c r="T14" s="177"/>
      <x:c r="U14" s="145"/>
      <x:c r="V14" s="151"/>
      <x:c r="W14" s="112" t="str">
        <x:v>https://leetcode.com/problems/binary-search/</x:v>
      </x:c>
    </x:row>
    <x:row r="15" ht="34" customHeight="1">
      <x:c r="A15" s="99" t="n">
        <x:v>3</x:v>
      </x:c>
      <x:c r="B15" s="145" t="str">
        <x:v>阶段一 基础模式与语言热身</x:v>
      </x:c>
      <x:c r="C15" s="145" t="n">
        <x:v>1</x:v>
      </x:c>
      <x:c r="D15" s="145" t="str">
        <x:v>短间隔复做</x:v>
      </x:c>
      <x:c r="E15" s="145" t="str">
        <x:v>主动回忆热身</x:v>
      </x:c>
      <x:c r="F15" s="145" t="n">
        <x:v>2</x:v>
      </x:c>
      <x:c r="G15" s="145" t="n">
        <x:v>2</x:v>
      </x:c>
      <x:c r="H15" s="145" t="n">
        <x:v>1</x:v>
      </x:c>
      <x:c r="I15" s="151" t="str">
        <x:v>两数之和</x:v>
      </x:c>
      <x:c r="J15" s="151" t="str">
        <x:v>Two Sum</x:v>
      </x:c>
      <x:c r="K15" s="145" t="str">
        <x:v>简单</x:v>
      </x:c>
      <x:c r="L15" s="145" t="str">
        <x:v>数组与哈希</x:v>
      </x:c>
      <x:c r="M15" s="145" t="str">
        <x:v>数组与哈希</x:v>
      </x:c>
      <x:c r="N15" s="165" t="str">
        <x:v>哈希表查补数</x:v>
      </x:c>
      <x:c r="O15" s="165" t="str">
        <x:v>Grind 75核心</x:v>
      </x:c>
      <x:c r="P15" s="171" t="n">
        <x:v>12</x:v>
      </x:c>
      <x:c r="Q15" s="151" t="str">
        <x:v>空白编辑器重写，禁止看旧代码，卡住五分钟后只看最小提示</x:v>
      </x:c>
      <x:c r="R15" s="145" t="str">
        <x:v>未开始</x:v>
      </x:c>
      <x:c r="S15" s="145"/>
      <x:c r="T15" s="177"/>
      <x:c r="U15" s="145"/>
      <x:c r="V15" s="151"/>
      <x:c r="W15" s="112" t="str">
        <x:v>https://leetcode.com/problems/two-sum/</x:v>
      </x:c>
    </x:row>
    <x:row r="16" ht="34" customHeight="1">
      <x:c r="A16" s="99" t="n">
        <x:v>3</x:v>
      </x:c>
      <x:c r="B16" s="145" t="str">
        <x:v>阶段一 基础模式与语言热身</x:v>
      </x:c>
      <x:c r="C16" s="145" t="n">
        <x:v>2</x:v>
      </x:c>
      <x:c r="D16" s="145" t="str">
        <x:v>新题</x:v>
      </x:c>
      <x:c r="E16" s="145" t="str">
        <x:v>主练一</x:v>
      </x:c>
      <x:c r="F16" s="145" t="n">
        <x:v>0</x:v>
      </x:c>
      <x:c r="G16" s="145" t="n">
        <x:v>0</x:v>
      </x:c>
      <x:c r="H16" s="145" t="n">
        <x:v>733</x:v>
      </x:c>
      <x:c r="I16" s="151" t="str">
        <x:v>图像渲染</x:v>
      </x:c>
      <x:c r="J16" s="151" t="str">
        <x:v>Flood Fill</x:v>
      </x:c>
      <x:c r="K16" s="145" t="str">
        <x:v>简单</x:v>
      </x:c>
      <x:c r="L16" s="145" t="str">
        <x:v>图与并查集</x:v>
      </x:c>
      <x:c r="M16" s="145" t="str">
        <x:v>图论</x:v>
      </x:c>
      <x:c r="N16" s="165" t="str">
        <x:v>网格深搜或广搜</x:v>
      </x:c>
      <x:c r="O16" s="165" t="str">
        <x:v>Grind 75核心</x:v>
      </x:c>
      <x:c r="P16" s="171" t="n">
        <x:v>20</x:v>
      </x:c>
      <x:c r="Q16" s="151" t="str">
        <x:v>盲做并先口述暴力法与优化方向，到时停笔，完成后写复杂度、边界与可追问点</x:v>
      </x:c>
      <x:c r="R16" s="145" t="str">
        <x:v>未开始</x:v>
      </x:c>
      <x:c r="S16" s="145"/>
      <x:c r="T16" s="177"/>
      <x:c r="U16" s="145"/>
      <x:c r="V16" s="151"/>
      <x:c r="W16" s="112" t="str">
        <x:v>https://leetcode.com/problems/flood-fill/</x:v>
      </x:c>
    </x:row>
    <x:row r="17" ht="34" customHeight="1">
      <x:c r="A17" s="99" t="n">
        <x:v>3</x:v>
      </x:c>
      <x:c r="B17" s="145" t="str">
        <x:v>阶段一 基础模式与语言热身</x:v>
      </x:c>
      <x:c r="C17" s="145" t="n">
        <x:v>3</x:v>
      </x:c>
      <x:c r="D17" s="145" t="str">
        <x:v>新题</x:v>
      </x:c>
      <x:c r="E17" s="145" t="str">
        <x:v>主练二</x:v>
      </x:c>
      <x:c r="F17" s="145" t="n">
        <x:v>0</x:v>
      </x:c>
      <x:c r="G17" s="145" t="n">
        <x:v>0</x:v>
      </x:c>
      <x:c r="H17" s="145" t="n">
        <x:v>235</x:v>
      </x:c>
      <x:c r="I17" s="151" t="str">
        <x:v>二叉搜索树的最近公共祖先</x:v>
      </x:c>
      <x:c r="J17" s="151" t="str">
        <x:v>Lowest Common Ancestor of a Binary Search Tree</x:v>
      </x:c>
      <x:c r="K17" s="145" t="str">
        <x:v>中等</x:v>
      </x:c>
      <x:c r="L17" s="145" t="str">
        <x:v>树与递归</x:v>
      </x:c>
      <x:c r="M17" s="145" t="str">
        <x:v>二叉搜索树</x:v>
      </x:c>
      <x:c r="N17" s="165" t="str">
        <x:v>利用有序性质缩小范围</x:v>
      </x:c>
      <x:c r="O17" s="165" t="str">
        <x:v>Grind 75核心</x:v>
      </x:c>
      <x:c r="P17" s="171" t="n">
        <x:v>20</x:v>
      </x:c>
      <x:c r="Q17" s="151" t="str">
        <x:v>盲做并先口述暴力法与优化方向，到时停笔，完成后写复杂度、边界与可追问点</x:v>
      </x:c>
      <x:c r="R17" s="145" t="str">
        <x:v>未开始</x:v>
      </x:c>
      <x:c r="S17" s="145"/>
      <x:c r="T17" s="177"/>
      <x:c r="U17" s="145"/>
      <x:c r="V17" s="151"/>
      <x:c r="W17" s="112" t="str">
        <x:v>https://leetcode.com/problems/lowest-common-ancestor-of-a-binary-search-tree/</x:v>
      </x:c>
    </x:row>
    <x:row r="18" ht="34" customHeight="1">
      <x:c r="A18" s="99" t="n">
        <x:v>3</x:v>
      </x:c>
      <x:c r="B18" s="145" t="str">
        <x:v>阶段一 基础模式与语言热身</x:v>
      </x:c>
      <x:c r="C18" s="145" t="n">
        <x:v>4</x:v>
      </x:c>
      <x:c r="D18" s="145" t="str">
        <x:v>短间隔复做</x:v>
      </x:c>
      <x:c r="E18" s="145" t="str">
        <x:v>短测复做</x:v>
      </x:c>
      <x:c r="F18" s="145" t="n">
        <x:v>2</x:v>
      </x:c>
      <x:c r="G18" s="145" t="n">
        <x:v>2</x:v>
      </x:c>
      <x:c r="H18" s="145" t="n">
        <x:v>121</x:v>
      </x:c>
      <x:c r="I18" s="151" t="str">
        <x:v>买卖股票的最佳时机</x:v>
      </x:c>
      <x:c r="J18" s="151" t="str">
        <x:v>Best Time to Buy and Sell Stock</x:v>
      </x:c>
      <x:c r="K18" s="145" t="str">
        <x:v>简单</x:v>
      </x:c>
      <x:c r="L18" s="145" t="str">
        <x:v>贪心与区间</x:v>
      </x:c>
      <x:c r="M18" s="145" t="str">
        <x:v>数组与贪心</x:v>
      </x:c>
      <x:c r="N18" s="165" t="str">
        <x:v>维护历史最小值</x:v>
      </x:c>
      <x:c r="O18" s="165" t="str">
        <x:v>Grind 75核心</x:v>
      </x:c>
      <x:c r="P18" s="171" t="n">
        <x:v>13</x:v>
      </x:c>
      <x:c r="Q18" s="151" t="str">
        <x:v>空白编辑器重写，禁止看旧代码，卡住五分钟后只看最小提示</x:v>
      </x:c>
      <x:c r="R18" s="145" t="str">
        <x:v>未开始</x:v>
      </x:c>
      <x:c r="S18" s="145"/>
      <x:c r="T18" s="177"/>
      <x:c r="U18" s="145"/>
      <x:c r="V18" s="151"/>
      <x:c r="W18" s="112" t="str">
        <x:v>https://leetcode.com/problems/best-time-to-buy-and-sell-stock/</x:v>
      </x:c>
    </x:row>
    <x:row r="19" ht="34" customHeight="1">
      <x:c r="A19" s="99" t="n">
        <x:v>3</x:v>
      </x:c>
      <x:c r="B19" s="145" t="str">
        <x:v>阶段一 基础模式与语言热身</x:v>
      </x:c>
      <x:c r="C19" s="145" t="n">
        <x:v>5</x:v>
      </x:c>
      <x:c r="D19" s="145" t="str">
        <x:v>新题</x:v>
      </x:c>
      <x:c r="E19" s="145" t="str">
        <x:v>主练三</x:v>
      </x:c>
      <x:c r="F19" s="145" t="n">
        <x:v>0</x:v>
      </x:c>
      <x:c r="G19" s="145" t="n">
        <x:v>0</x:v>
      </x:c>
      <x:c r="H19" s="145" t="n">
        <x:v>110</x:v>
      </x:c>
      <x:c r="I19" s="151" t="str">
        <x:v>平衡二叉树</x:v>
      </x:c>
      <x:c r="J19" s="151" t="str">
        <x:v>Balanced Binary Tree</x:v>
      </x:c>
      <x:c r="K19" s="145" t="str">
        <x:v>简单</x:v>
      </x:c>
      <x:c r="L19" s="145" t="str">
        <x:v>树与递归</x:v>
      </x:c>
      <x:c r="M19" s="145" t="str">
        <x:v>二叉树</x:v>
      </x:c>
      <x:c r="N19" s="165" t="str">
        <x:v>自底向上递归</x:v>
      </x:c>
      <x:c r="O19" s="165" t="str">
        <x:v>Grind 75核心</x:v>
      </x:c>
      <x:c r="P19" s="171" t="n">
        <x:v>15</x:v>
      </x:c>
      <x:c r="Q19" s="151" t="str">
        <x:v>盲做并先口述暴力法与优化方向，到时停笔，完成后写复杂度、边界与可追问点</x:v>
      </x:c>
      <x:c r="R19" s="145" t="str">
        <x:v>未开始</x:v>
      </x:c>
      <x:c r="S19" s="145"/>
      <x:c r="T19" s="177"/>
      <x:c r="U19" s="145"/>
      <x:c r="V19" s="151"/>
      <x:c r="W19" s="112" t="str">
        <x:v>https://leetcode.com/problems/balanced-binary-tree/</x:v>
      </x:c>
    </x:row>
    <x:row r="20" ht="34" customHeight="1">
      <x:c r="A20" s="99" t="n">
        <x:v>4</x:v>
      </x:c>
      <x:c r="B20" s="145" t="str">
        <x:v>阶段一 基础模式与语言热身</x:v>
      </x:c>
      <x:c r="C20" s="145" t="n">
        <x:v>1</x:v>
      </x:c>
      <x:c r="D20" s="145" t="str">
        <x:v>短间隔复做</x:v>
      </x:c>
      <x:c r="E20" s="145" t="str">
        <x:v>主动回忆热身</x:v>
      </x:c>
      <x:c r="F20" s="145" t="n">
        <x:v>3</x:v>
      </x:c>
      <x:c r="G20" s="145" t="n">
        <x:v>3</x:v>
      </x:c>
      <x:c r="H20" s="145" t="n">
        <x:v>125</x:v>
      </x:c>
      <x:c r="I20" s="151" t="str">
        <x:v>验证回文串</x:v>
      </x:c>
      <x:c r="J20" s="151" t="str">
        <x:v>Valid Palindrome</x:v>
      </x:c>
      <x:c r="K20" s="145" t="str">
        <x:v>简单</x:v>
      </x:c>
      <x:c r="L20" s="145" t="str">
        <x:v>双指针</x:v>
      </x:c>
      <x:c r="M20" s="145" t="str">
        <x:v>字符串与双指针</x:v>
      </x:c>
      <x:c r="N20" s="165" t="str">
        <x:v>对撞指针</x:v>
      </x:c>
      <x:c r="O20" s="165" t="str">
        <x:v>Grind 75核心</x:v>
      </x:c>
      <x:c r="P20" s="171" t="n">
        <x:v>12</x:v>
      </x:c>
      <x:c r="Q20" s="151" t="str">
        <x:v>空白编辑器重写，禁止看旧代码，卡住五分钟后只看最小提示</x:v>
      </x:c>
      <x:c r="R20" s="145" t="str">
        <x:v>未开始</x:v>
      </x:c>
      <x:c r="S20" s="145"/>
      <x:c r="T20" s="177"/>
      <x:c r="U20" s="145"/>
      <x:c r="V20" s="151"/>
      <x:c r="W20" s="112" t="str">
        <x:v>https://leetcode.com/problems/valid-palindrome/</x:v>
      </x:c>
    </x:row>
    <x:row r="21" ht="34" customHeight="1">
      <x:c r="A21" s="99" t="n">
        <x:v>4</x:v>
      </x:c>
      <x:c r="B21" s="145" t="str">
        <x:v>阶段一 基础模式与语言热身</x:v>
      </x:c>
      <x:c r="C21" s="145" t="n">
        <x:v>2</x:v>
      </x:c>
      <x:c r="D21" s="145" t="str">
        <x:v>新题</x:v>
      </x:c>
      <x:c r="E21" s="145" t="str">
        <x:v>主练一</x:v>
      </x:c>
      <x:c r="F21" s="145" t="n">
        <x:v>0</x:v>
      </x:c>
      <x:c r="G21" s="145" t="n">
        <x:v>0</x:v>
      </x:c>
      <x:c r="H21" s="145" t="n">
        <x:v>141</x:v>
      </x:c>
      <x:c r="I21" s="151" t="str">
        <x:v>环形链表</x:v>
      </x:c>
      <x:c r="J21" s="151" t="str">
        <x:v>Linked List Cycle</x:v>
      </x:c>
      <x:c r="K21" s="145" t="str">
        <x:v>简单</x:v>
      </x:c>
      <x:c r="L21" s="145" t="str">
        <x:v>链表</x:v>
      </x:c>
      <x:c r="M21" s="145" t="str">
        <x:v>链表</x:v>
      </x:c>
      <x:c r="N21" s="165" t="str">
        <x:v>快慢指针</x:v>
      </x:c>
      <x:c r="O21" s="165" t="str">
        <x:v>Grind 75核心</x:v>
      </x:c>
      <x:c r="P21" s="171" t="n">
        <x:v>20</x:v>
      </x:c>
      <x:c r="Q21" s="151" t="str">
        <x:v>盲做并先口述暴力法与优化方向，到时停笔，完成后写复杂度、边界与可追问点</x:v>
      </x:c>
      <x:c r="R21" s="145" t="str">
        <x:v>未开始</x:v>
      </x:c>
      <x:c r="S21" s="145"/>
      <x:c r="T21" s="177"/>
      <x:c r="U21" s="145"/>
      <x:c r="V21" s="151"/>
      <x:c r="W21" s="112" t="str">
        <x:v>https://leetcode.com/problems/linked-list-cycle/</x:v>
      </x:c>
    </x:row>
    <x:row r="22" ht="34" customHeight="1">
      <x:c r="A22" s="99" t="n">
        <x:v>4</x:v>
      </x:c>
      <x:c r="B22" s="145" t="str">
        <x:v>阶段一 基础模式与语言热身</x:v>
      </x:c>
      <x:c r="C22" s="145" t="n">
        <x:v>3</x:v>
      </x:c>
      <x:c r="D22" s="145" t="str">
        <x:v>新题</x:v>
      </x:c>
      <x:c r="E22" s="145" t="str">
        <x:v>主练二</x:v>
      </x:c>
      <x:c r="F22" s="145" t="n">
        <x:v>0</x:v>
      </x:c>
      <x:c r="G22" s="145" t="n">
        <x:v>0</x:v>
      </x:c>
      <x:c r="H22" s="145" t="n">
        <x:v>232</x:v>
      </x:c>
      <x:c r="I22" s="151" t="str">
        <x:v>用栈实现队列</x:v>
      </x:c>
      <x:c r="J22" s="151" t="str">
        <x:v>Implement Queue using Stacks</x:v>
      </x:c>
      <x:c r="K22" s="145" t="str">
        <x:v>简单</x:v>
      </x:c>
      <x:c r="L22" s="145" t="str">
        <x:v>栈与队列</x:v>
      </x:c>
      <x:c r="M22" s="145" t="str">
        <x:v>栈与队列</x:v>
      </x:c>
      <x:c r="N22" s="165" t="str">
        <x:v>双栈模拟</x:v>
      </x:c>
      <x:c r="O22" s="165" t="str">
        <x:v>Grind 75核心</x:v>
      </x:c>
      <x:c r="P22" s="171" t="n">
        <x:v>20</x:v>
      </x:c>
      <x:c r="Q22" s="151" t="str">
        <x:v>盲做并先口述暴力法与优化方向，到时停笔，完成后写复杂度、边界与可追问点</x:v>
      </x:c>
      <x:c r="R22" s="145" t="str">
        <x:v>未开始</x:v>
      </x:c>
      <x:c r="S22" s="145"/>
      <x:c r="T22" s="177"/>
      <x:c r="U22" s="145"/>
      <x:c r="V22" s="151"/>
      <x:c r="W22" s="112" t="str">
        <x:v>https://leetcode.com/problems/implement-queue-using-stacks/</x:v>
      </x:c>
    </x:row>
    <x:row r="23" ht="34" customHeight="1">
      <x:c r="A23" s="99" t="n">
        <x:v>4</x:v>
      </x:c>
      <x:c r="B23" s="145" t="str">
        <x:v>阶段一 基础模式与语言热身</x:v>
      </x:c>
      <x:c r="C23" s="145" t="n">
        <x:v>4</x:v>
      </x:c>
      <x:c r="D23" s="145" t="str">
        <x:v>短间隔复做</x:v>
      </x:c>
      <x:c r="E23" s="145" t="str">
        <x:v>短测复做</x:v>
      </x:c>
      <x:c r="F23" s="145" t="n">
        <x:v>2</x:v>
      </x:c>
      <x:c r="G23" s="145" t="n">
        <x:v>2</x:v>
      </x:c>
      <x:c r="H23" s="145" t="n">
        <x:v>226</x:v>
      </x:c>
      <x:c r="I23" s="151" t="str">
        <x:v>翻转二叉树</x:v>
      </x:c>
      <x:c r="J23" s="151" t="str">
        <x:v>Invert Binary Tree</x:v>
      </x:c>
      <x:c r="K23" s="145" t="str">
        <x:v>简单</x:v>
      </x:c>
      <x:c r="L23" s="145" t="str">
        <x:v>树与递归</x:v>
      </x:c>
      <x:c r="M23" s="145" t="str">
        <x:v>二叉树</x:v>
      </x:c>
      <x:c r="N23" s="165" t="str">
        <x:v>递归遍历</x:v>
      </x:c>
      <x:c r="O23" s="165" t="str">
        <x:v>Grind 75核心</x:v>
      </x:c>
      <x:c r="P23" s="171" t="n">
        <x:v>12</x:v>
      </x:c>
      <x:c r="Q23" s="151" t="str">
        <x:v>空白编辑器重写，禁止看旧代码，卡住五分钟后只看最小提示</x:v>
      </x:c>
      <x:c r="R23" s="145" t="str">
        <x:v>未开始</x:v>
      </x:c>
      <x:c r="S23" s="145"/>
      <x:c r="T23" s="177"/>
      <x:c r="U23" s="145"/>
      <x:c r="V23" s="151"/>
      <x:c r="W23" s="112" t="str">
        <x:v>https://leetcode.com/problems/invert-binary-tree/</x:v>
      </x:c>
    </x:row>
    <x:row r="24" ht="34" customHeight="1">
      <x:c r="A24" s="99" t="n">
        <x:v>4</x:v>
      </x:c>
      <x:c r="B24" s="145" t="str">
        <x:v>阶段一 基础模式与语言热身</x:v>
      </x:c>
      <x:c r="C24" s="145" t="n">
        <x:v>5</x:v>
      </x:c>
      <x:c r="D24" s="145" t="str">
        <x:v>新题</x:v>
      </x:c>
      <x:c r="E24" s="145" t="str">
        <x:v>主练三</x:v>
      </x:c>
      <x:c r="F24" s="145" t="n">
        <x:v>0</x:v>
      </x:c>
      <x:c r="G24" s="145" t="n">
        <x:v>0</x:v>
      </x:c>
      <x:c r="H24" s="145" t="n">
        <x:v>278</x:v>
      </x:c>
      <x:c r="I24" s="151" t="str">
        <x:v>第一个错误的版本</x:v>
      </x:c>
      <x:c r="J24" s="151" t="str">
        <x:v>First Bad Version</x:v>
      </x:c>
      <x:c r="K24" s="145" t="str">
        <x:v>简单</x:v>
      </x:c>
      <x:c r="L24" s="145" t="str">
        <x:v>二分查找</x:v>
      </x:c>
      <x:c r="M24" s="145" t="str">
        <x:v>二分查找</x:v>
      </x:c>
      <x:c r="N24" s="165" t="str">
        <x:v>左边界查找</x:v>
      </x:c>
      <x:c r="O24" s="165" t="str">
        <x:v>Grind 75核心</x:v>
      </x:c>
      <x:c r="P24" s="171" t="n">
        <x:v>20</x:v>
      </x:c>
      <x:c r="Q24" s="151" t="str">
        <x:v>盲做并先口述暴力法与优化方向，到时停笔，完成后写复杂度、边界与可追问点</x:v>
      </x:c>
      <x:c r="R24" s="145" t="str">
        <x:v>未开始</x:v>
      </x:c>
      <x:c r="S24" s="145"/>
      <x:c r="T24" s="177"/>
      <x:c r="U24" s="145"/>
      <x:c r="V24" s="151"/>
      <x:c r="W24" s="112" t="str">
        <x:v>https://leetcode.com/problems/first-bad-version/</x:v>
      </x:c>
    </x:row>
    <x:row r="25" ht="34" customHeight="1">
      <x:c r="A25" s="99" t="n">
        <x:v>5</x:v>
      </x:c>
      <x:c r="B25" s="145" t="str">
        <x:v>阶段一 基础模式与语言热身</x:v>
      </x:c>
      <x:c r="C25" s="145" t="n">
        <x:v>1</x:v>
      </x:c>
      <x:c r="D25" s="145" t="str">
        <x:v>短间隔复做</x:v>
      </x:c>
      <x:c r="E25" s="145" t="str">
        <x:v>主动回忆热身</x:v>
      </x:c>
      <x:c r="F25" s="145" t="n">
        <x:v>3</x:v>
      </x:c>
      <x:c r="G25" s="145" t="n">
        <x:v>3</x:v>
      </x:c>
      <x:c r="H25" s="145" t="n">
        <x:v>704</x:v>
      </x:c>
      <x:c r="I25" s="151" t="str">
        <x:v>二分查找</x:v>
      </x:c>
      <x:c r="J25" s="151" t="str">
        <x:v>Binary Search</x:v>
      </x:c>
      <x:c r="K25" s="145" t="str">
        <x:v>简单</x:v>
      </x:c>
      <x:c r="L25" s="145" t="str">
        <x:v>二分查找</x:v>
      </x:c>
      <x:c r="M25" s="145" t="str">
        <x:v>二分查找</x:v>
      </x:c>
      <x:c r="N25" s="165" t="str">
        <x:v>区间定义与循环不变量</x:v>
      </x:c>
      <x:c r="O25" s="165" t="str">
        <x:v>Grind 75核心</x:v>
      </x:c>
      <x:c r="P25" s="171" t="n">
        <x:v>12</x:v>
      </x:c>
      <x:c r="Q25" s="151" t="str">
        <x:v>空白编辑器重写，禁止看旧代码，卡住五分钟后只看最小提示</x:v>
      </x:c>
      <x:c r="R25" s="145" t="str">
        <x:v>未开始</x:v>
      </x:c>
      <x:c r="S25" s="145"/>
      <x:c r="T25" s="177"/>
      <x:c r="U25" s="145"/>
      <x:c r="V25" s="151"/>
      <x:c r="W25" s="112" t="str">
        <x:v>https://leetcode.com/problems/binary-search/</x:v>
      </x:c>
    </x:row>
    <x:row r="26" ht="34" customHeight="1">
      <x:c r="A26" s="99" t="n">
        <x:v>5</x:v>
      </x:c>
      <x:c r="B26" s="145" t="str">
        <x:v>阶段一 基础模式与语言热身</x:v>
      </x:c>
      <x:c r="C26" s="145" t="n">
        <x:v>2</x:v>
      </x:c>
      <x:c r="D26" s="145" t="str">
        <x:v>新题</x:v>
      </x:c>
      <x:c r="E26" s="145" t="str">
        <x:v>主练一</x:v>
      </x:c>
      <x:c r="F26" s="145" t="n">
        <x:v>0</x:v>
      </x:c>
      <x:c r="G26" s="145" t="n">
        <x:v>0</x:v>
      </x:c>
      <x:c r="H26" s="145" t="n">
        <x:v>383</x:v>
      </x:c>
      <x:c r="I26" s="151" t="str">
        <x:v>赎金信</x:v>
      </x:c>
      <x:c r="J26" s="151" t="str">
        <x:v>Ransom Note</x:v>
      </x:c>
      <x:c r="K26" s="145" t="str">
        <x:v>简单</x:v>
      </x:c>
      <x:c r="L26" s="145" t="str">
        <x:v>数组与哈希</x:v>
      </x:c>
      <x:c r="M26" s="145" t="str">
        <x:v>数组与哈希</x:v>
      </x:c>
      <x:c r="N26" s="165" t="str">
        <x:v>字符频次计数</x:v>
      </x:c>
      <x:c r="O26" s="165" t="str">
        <x:v>Grind 75核心</x:v>
      </x:c>
      <x:c r="P26" s="171" t="n">
        <x:v>15</x:v>
      </x:c>
      <x:c r="Q26" s="151" t="str">
        <x:v>盲做并先口述暴力法与优化方向，到时停笔，完成后写复杂度、边界与可追问点</x:v>
      </x:c>
      <x:c r="R26" s="145" t="str">
        <x:v>未开始</x:v>
      </x:c>
      <x:c r="S26" s="145"/>
      <x:c r="T26" s="177"/>
      <x:c r="U26" s="145"/>
      <x:c r="V26" s="151"/>
      <x:c r="W26" s="112" t="str">
        <x:v>https://leetcode.com/problems/ransom-note/</x:v>
      </x:c>
    </x:row>
    <x:row r="27" ht="34" customHeight="1">
      <x:c r="A27" s="99" t="n">
        <x:v>5</x:v>
      </x:c>
      <x:c r="B27" s="145" t="str">
        <x:v>阶段一 基础模式与语言热身</x:v>
      </x:c>
      <x:c r="C27" s="145" t="n">
        <x:v>3</x:v>
      </x:c>
      <x:c r="D27" s="145" t="str">
        <x:v>新题</x:v>
      </x:c>
      <x:c r="E27" s="145" t="str">
        <x:v>主练二</x:v>
      </x:c>
      <x:c r="F27" s="145" t="n">
        <x:v>0</x:v>
      </x:c>
      <x:c r="G27" s="145" t="n">
        <x:v>0</x:v>
      </x:c>
      <x:c r="H27" s="145" t="n">
        <x:v>70</x:v>
      </x:c>
      <x:c r="I27" s="151" t="str">
        <x:v>爬楼梯</x:v>
      </x:c>
      <x:c r="J27" s="151" t="str">
        <x:v>Climbing Stairs</x:v>
      </x:c>
      <x:c r="K27" s="145" t="str">
        <x:v>简单</x:v>
      </x:c>
      <x:c r="L27" s="145" t="str">
        <x:v>动态规划</x:v>
      </x:c>
      <x:c r="M27" s="145" t="str">
        <x:v>动态规划</x:v>
      </x:c>
      <x:c r="N27" s="165" t="str">
        <x:v>一维状态转移</x:v>
      </x:c>
      <x:c r="O27" s="165" t="str">
        <x:v>Grind 75核心</x:v>
      </x:c>
      <x:c r="P27" s="171" t="n">
        <x:v>20</x:v>
      </x:c>
      <x:c r="Q27" s="151" t="str">
        <x:v>盲做并先口述暴力法与优化方向，到时停笔，完成后写复杂度、边界与可追问点</x:v>
      </x:c>
      <x:c r="R27" s="145" t="str">
        <x:v>未开始</x:v>
      </x:c>
      <x:c r="S27" s="145"/>
      <x:c r="T27" s="177"/>
      <x:c r="U27" s="145"/>
      <x:c r="V27" s="151"/>
      <x:c r="W27" s="112" t="str">
        <x:v>https://leetcode.com/problems/climbing-stairs/</x:v>
      </x:c>
    </x:row>
    <x:row r="28" ht="34" customHeight="1">
      <x:c r="A28" s="99" t="n">
        <x:v>5</x:v>
      </x:c>
      <x:c r="B28" s="145" t="str">
        <x:v>阶段一 基础模式与语言热身</x:v>
      </x:c>
      <x:c r="C28" s="145" t="n">
        <x:v>4</x:v>
      </x:c>
      <x:c r="D28" s="145" t="str">
        <x:v>短间隔复做</x:v>
      </x:c>
      <x:c r="E28" s="145" t="str">
        <x:v>短测复做</x:v>
      </x:c>
      <x:c r="F28" s="145" t="n">
        <x:v>2</x:v>
      </x:c>
      <x:c r="G28" s="145" t="n">
        <x:v>2</x:v>
      </x:c>
      <x:c r="H28" s="145" t="n">
        <x:v>733</x:v>
      </x:c>
      <x:c r="I28" s="151" t="str">
        <x:v>图像渲染</x:v>
      </x:c>
      <x:c r="J28" s="151" t="str">
        <x:v>Flood Fill</x:v>
      </x:c>
      <x:c r="K28" s="145" t="str">
        <x:v>简单</x:v>
      </x:c>
      <x:c r="L28" s="145" t="str">
        <x:v>图与并查集</x:v>
      </x:c>
      <x:c r="M28" s="145" t="str">
        <x:v>图论</x:v>
      </x:c>
      <x:c r="N28" s="165" t="str">
        <x:v>网格深搜或广搜</x:v>
      </x:c>
      <x:c r="O28" s="165" t="str">
        <x:v>Grind 75核心</x:v>
      </x:c>
      <x:c r="P28" s="171" t="n">
        <x:v>13</x:v>
      </x:c>
      <x:c r="Q28" s="151" t="str">
        <x:v>空白编辑器重写，禁止看旧代码，卡住五分钟后只看最小提示</x:v>
      </x:c>
      <x:c r="R28" s="145" t="str">
        <x:v>未开始</x:v>
      </x:c>
      <x:c r="S28" s="145"/>
      <x:c r="T28" s="177"/>
      <x:c r="U28" s="145"/>
      <x:c r="V28" s="151"/>
      <x:c r="W28" s="112" t="str">
        <x:v>https://leetcode.com/problems/flood-fill/</x:v>
      </x:c>
    </x:row>
    <x:row r="29" ht="34" customHeight="1">
      <x:c r="A29" s="99" t="n">
        <x:v>5</x:v>
      </x:c>
      <x:c r="B29" s="145" t="str">
        <x:v>阶段一 基础模式与语言热身</x:v>
      </x:c>
      <x:c r="C29" s="145" t="n">
        <x:v>5</x:v>
      </x:c>
      <x:c r="D29" s="145" t="str">
        <x:v>新题</x:v>
      </x:c>
      <x:c r="E29" s="145" t="str">
        <x:v>主练三</x:v>
      </x:c>
      <x:c r="F29" s="145" t="n">
        <x:v>0</x:v>
      </x:c>
      <x:c r="G29" s="145" t="n">
        <x:v>0</x:v>
      </x:c>
      <x:c r="H29" s="145" t="n">
        <x:v>409</x:v>
      </x:c>
      <x:c r="I29" s="151" t="str">
        <x:v>最长回文串</x:v>
      </x:c>
      <x:c r="J29" s="151" t="str">
        <x:v>Longest Palindrome</x:v>
      </x:c>
      <x:c r="K29" s="145" t="str">
        <x:v>简单</x:v>
      </x:c>
      <x:c r="L29" s="145" t="str">
        <x:v>字符串</x:v>
      </x:c>
      <x:c r="M29" s="145" t="str">
        <x:v>字符串与哈希</x:v>
      </x:c>
      <x:c r="N29" s="165" t="str">
        <x:v>频次奇偶性</x:v>
      </x:c>
      <x:c r="O29" s="165" t="str">
        <x:v>Grind 75核心</x:v>
      </x:c>
      <x:c r="P29" s="171" t="n">
        <x:v>20</x:v>
      </x:c>
      <x:c r="Q29" s="151" t="str">
        <x:v>盲做并先口述暴力法与优化方向，到时停笔，完成后写复杂度、边界与可追问点</x:v>
      </x:c>
      <x:c r="R29" s="145" t="str">
        <x:v>未开始</x:v>
      </x:c>
      <x:c r="S29" s="145"/>
      <x:c r="T29" s="177"/>
      <x:c r="U29" s="145"/>
      <x:c r="V29" s="151"/>
      <x:c r="W29" s="112" t="str">
        <x:v>https://leetcode.com/problems/longest-palindrome/</x:v>
      </x:c>
    </x:row>
    <x:row r="30" ht="34" customHeight="1">
      <x:c r="A30" s="99" t="n">
        <x:v>6</x:v>
      </x:c>
      <x:c r="B30" s="145" t="str">
        <x:v>阶段一 基础模式与语言热身</x:v>
      </x:c>
      <x:c r="C30" s="145" t="n">
        <x:v>1</x:v>
      </x:c>
      <x:c r="D30" s="145" t="str">
        <x:v>短间隔复做</x:v>
      </x:c>
      <x:c r="E30" s="145" t="str">
        <x:v>主动回忆热身</x:v>
      </x:c>
      <x:c r="F30" s="145" t="n">
        <x:v>3</x:v>
      </x:c>
      <x:c r="G30" s="145" t="n">
        <x:v>3</x:v>
      </x:c>
      <x:c r="H30" s="145" t="n">
        <x:v>235</x:v>
      </x:c>
      <x:c r="I30" s="151" t="str">
        <x:v>二叉搜索树的最近公共祖先</x:v>
      </x:c>
      <x:c r="J30" s="151" t="str">
        <x:v>Lowest Common Ancestor of a Binary Search Tree</x:v>
      </x:c>
      <x:c r="K30" s="145" t="str">
        <x:v>中等</x:v>
      </x:c>
      <x:c r="L30" s="145" t="str">
        <x:v>树与递归</x:v>
      </x:c>
      <x:c r="M30" s="145" t="str">
        <x:v>二叉搜索树</x:v>
      </x:c>
      <x:c r="N30" s="165" t="str">
        <x:v>利用有序性质缩小范围</x:v>
      </x:c>
      <x:c r="O30" s="165" t="str">
        <x:v>Grind 75核心</x:v>
      </x:c>
      <x:c r="P30" s="171" t="n">
        <x:v>13</x:v>
      </x:c>
      <x:c r="Q30" s="151" t="str">
        <x:v>空白编辑器重写，禁止看旧代码，卡住五分钟后只看最小提示</x:v>
      </x:c>
      <x:c r="R30" s="145" t="str">
        <x:v>未开始</x:v>
      </x:c>
      <x:c r="S30" s="145"/>
      <x:c r="T30" s="177"/>
      <x:c r="U30" s="145"/>
      <x:c r="V30" s="151"/>
      <x:c r="W30" s="112" t="str">
        <x:v>https://leetcode.com/problems/lowest-common-ancestor-of-a-binary-search-tree/</x:v>
      </x:c>
    </x:row>
    <x:row r="31" ht="34" customHeight="1">
      <x:c r="A31" s="99" t="n">
        <x:v>6</x:v>
      </x:c>
      <x:c r="B31" s="145" t="str">
        <x:v>阶段一 基础模式与语言热身</x:v>
      </x:c>
      <x:c r="C31" s="145" t="n">
        <x:v>2</x:v>
      </x:c>
      <x:c r="D31" s="145" t="str">
        <x:v>新题</x:v>
      </x:c>
      <x:c r="E31" s="145" t="str">
        <x:v>主练一</x:v>
      </x:c>
      <x:c r="F31" s="145" t="n">
        <x:v>0</x:v>
      </x:c>
      <x:c r="G31" s="145" t="n">
        <x:v>0</x:v>
      </x:c>
      <x:c r="H31" s="145" t="n">
        <x:v>206</x:v>
      </x:c>
      <x:c r="I31" s="151" t="str">
        <x:v>反转链表</x:v>
      </x:c>
      <x:c r="J31" s="151" t="str">
        <x:v>Reverse Linked List</x:v>
      </x:c>
      <x:c r="K31" s="145" t="str">
        <x:v>简单</x:v>
      </x:c>
      <x:c r="L31" s="145" t="str">
        <x:v>链表</x:v>
      </x:c>
      <x:c r="M31" s="145" t="str">
        <x:v>链表</x:v>
      </x:c>
      <x:c r="N31" s="165" t="str">
        <x:v>指针反转</x:v>
      </x:c>
      <x:c r="O31" s="165" t="str">
        <x:v>Grind 75核心</x:v>
      </x:c>
      <x:c r="P31" s="171" t="n">
        <x:v>20</x:v>
      </x:c>
      <x:c r="Q31" s="151" t="str">
        <x:v>盲做并先口述暴力法与优化方向，到时停笔，完成后写复杂度、边界与可追问点</x:v>
      </x:c>
      <x:c r="R31" s="145" t="str">
        <x:v>未开始</x:v>
      </x:c>
      <x:c r="S31" s="145"/>
      <x:c r="T31" s="177"/>
      <x:c r="U31" s="145"/>
      <x:c r="V31" s="151"/>
      <x:c r="W31" s="112" t="str">
        <x:v>https://leetcode.com/problems/reverse-linked-list/</x:v>
      </x:c>
    </x:row>
    <x:row r="32" ht="34" customHeight="1">
      <x:c r="A32" s="99" t="n">
        <x:v>6</x:v>
      </x:c>
      <x:c r="B32" s="145" t="str">
        <x:v>阶段一 基础模式与语言热身</x:v>
      </x:c>
      <x:c r="C32" s="145" t="n">
        <x:v>3</x:v>
      </x:c>
      <x:c r="D32" s="145" t="str">
        <x:v>新题</x:v>
      </x:c>
      <x:c r="E32" s="145" t="str">
        <x:v>主练二</x:v>
      </x:c>
      <x:c r="F32" s="145" t="n">
        <x:v>0</x:v>
      </x:c>
      <x:c r="G32" s="145" t="n">
        <x:v>0</x:v>
      </x:c>
      <x:c r="H32" s="145" t="n">
        <x:v>169</x:v>
      </x:c>
      <x:c r="I32" s="151" t="str">
        <x:v>多数元素</x:v>
      </x:c>
      <x:c r="J32" s="151" t="str">
        <x:v>Majority Element</x:v>
      </x:c>
      <x:c r="K32" s="145" t="str">
        <x:v>简单</x:v>
      </x:c>
      <x:c r="L32" s="145" t="str">
        <x:v>贪心与区间</x:v>
      </x:c>
      <x:c r="M32" s="145" t="str">
        <x:v>数组与贪心</x:v>
      </x:c>
      <x:c r="N32" s="165" t="str">
        <x:v>Boyer Moore投票</x:v>
      </x:c>
      <x:c r="O32" s="165" t="str">
        <x:v>Grind 75核心</x:v>
      </x:c>
      <x:c r="P32" s="171" t="n">
        <x:v>20</x:v>
      </x:c>
      <x:c r="Q32" s="151" t="str">
        <x:v>盲做并先口述暴力法与优化方向，到时停笔，完成后写复杂度、边界与可追问点</x:v>
      </x:c>
      <x:c r="R32" s="145" t="str">
        <x:v>未开始</x:v>
      </x:c>
      <x:c r="S32" s="145"/>
      <x:c r="T32" s="177"/>
      <x:c r="U32" s="145"/>
      <x:c r="V32" s="151"/>
      <x:c r="W32" s="112" t="str">
        <x:v>https://leetcode.com/problems/majority-element/</x:v>
      </x:c>
    </x:row>
    <x:row r="33" ht="34" customHeight="1">
      <x:c r="A33" s="99" t="n">
        <x:v>6</x:v>
      </x:c>
      <x:c r="B33" s="145" t="str">
        <x:v>阶段一 基础模式与语言热身</x:v>
      </x:c>
      <x:c r="C33" s="145" t="n">
        <x:v>4</x:v>
      </x:c>
      <x:c r="D33" s="145" t="str">
        <x:v>短间隔复做</x:v>
      </x:c>
      <x:c r="E33" s="145" t="str">
        <x:v>短测复做</x:v>
      </x:c>
      <x:c r="F33" s="145" t="n">
        <x:v>4</x:v>
      </x:c>
      <x:c r="G33" s="145" t="n">
        <x:v>4</x:v>
      </x:c>
      <x:c r="H33" s="145" t="n">
        <x:v>242</x:v>
      </x:c>
      <x:c r="I33" s="151" t="str">
        <x:v>有效的字母异位词</x:v>
      </x:c>
      <x:c r="J33" s="151" t="str">
        <x:v>Valid Anagram</x:v>
      </x:c>
      <x:c r="K33" s="145" t="str">
        <x:v>简单</x:v>
      </x:c>
      <x:c r="L33" s="145" t="str">
        <x:v>数组与哈希</x:v>
      </x:c>
      <x:c r="M33" s="145" t="str">
        <x:v>数组与哈希</x:v>
      </x:c>
      <x:c r="N33" s="165" t="str">
        <x:v>字符频次计数</x:v>
      </x:c>
      <x:c r="O33" s="165" t="str">
        <x:v>Grind 75核心</x:v>
      </x:c>
      <x:c r="P33" s="171" t="n">
        <x:v>12</x:v>
      </x:c>
      <x:c r="Q33" s="151" t="str">
        <x:v>空白编辑器重写，禁止看旧代码，卡住五分钟后只看最小提示</x:v>
      </x:c>
      <x:c r="R33" s="145" t="str">
        <x:v>未开始</x:v>
      </x:c>
      <x:c r="S33" s="145"/>
      <x:c r="T33" s="177"/>
      <x:c r="U33" s="145"/>
      <x:c r="V33" s="151"/>
      <x:c r="W33" s="112" t="str">
        <x:v>https://leetcode.com/problems/valid-anagram/</x:v>
      </x:c>
    </x:row>
    <x:row r="34" ht="34" customHeight="1">
      <x:c r="A34" s="99" t="n">
        <x:v>6</x:v>
      </x:c>
      <x:c r="B34" s="145" t="str">
        <x:v>阶段一 基础模式与语言热身</x:v>
      </x:c>
      <x:c r="C34" s="145" t="n">
        <x:v>5</x:v>
      </x:c>
      <x:c r="D34" s="145" t="str">
        <x:v>新题</x:v>
      </x:c>
      <x:c r="E34" s="145" t="str">
        <x:v>主练三</x:v>
      </x:c>
      <x:c r="F34" s="145" t="n">
        <x:v>0</x:v>
      </x:c>
      <x:c r="G34" s="145" t="n">
        <x:v>0</x:v>
      </x:c>
      <x:c r="H34" s="145" t="n">
        <x:v>67</x:v>
      </x:c>
      <x:c r="I34" s="151" t="str">
        <x:v>二进制求和</x:v>
      </x:c>
      <x:c r="J34" s="151" t="str">
        <x:v>Add Binary</x:v>
      </x:c>
      <x:c r="K34" s="145" t="str">
        <x:v>简单</x:v>
      </x:c>
      <x:c r="L34" s="145" t="str">
        <x:v>位运算</x:v>
      </x:c>
      <x:c r="M34" s="145" t="str">
        <x:v>位运算与字符串</x:v>
      </x:c>
      <x:c r="N34" s="165" t="str">
        <x:v>逐位模拟进位</x:v>
      </x:c>
      <x:c r="O34" s="165" t="str">
        <x:v>Grind 75核心</x:v>
      </x:c>
      <x:c r="P34" s="171" t="n">
        <x:v>15</x:v>
      </x:c>
      <x:c r="Q34" s="151" t="str">
        <x:v>盲做并先口述暴力法与优化方向，到时停笔，完成后写复杂度、边界与可追问点</x:v>
      </x:c>
      <x:c r="R34" s="145" t="str">
        <x:v>未开始</x:v>
      </x:c>
      <x:c r="S34" s="145"/>
      <x:c r="T34" s="177"/>
      <x:c r="U34" s="145"/>
      <x:c r="V34" s="151"/>
      <x:c r="W34" s="112" t="str">
        <x:v>https://leetcode.com/problems/add-binary/</x:v>
      </x:c>
    </x:row>
    <x:row r="35" ht="34" customHeight="1">
      <x:c r="A35" s="99" t="n">
        <x:v>7</x:v>
      </x:c>
      <x:c r="B35" s="145" t="str">
        <x:v>阶段一 基础模式与语言热身</x:v>
      </x:c>
      <x:c r="C35" s="145" t="n">
        <x:v>1</x:v>
      </x:c>
      <x:c r="D35" s="145" t="str">
        <x:v>短间隔复做</x:v>
      </x:c>
      <x:c r="E35" s="145" t="str">
        <x:v>主动回忆热身</x:v>
      </x:c>
      <x:c r="F35" s="145" t="n">
        <x:v>3</x:v>
      </x:c>
      <x:c r="G35" s="145" t="n">
        <x:v>3</x:v>
      </x:c>
      <x:c r="H35" s="145" t="n">
        <x:v>232</x:v>
      </x:c>
      <x:c r="I35" s="151" t="str">
        <x:v>用栈实现队列</x:v>
      </x:c>
      <x:c r="J35" s="151" t="str">
        <x:v>Implement Queue using Stacks</x:v>
      </x:c>
      <x:c r="K35" s="145" t="str">
        <x:v>简单</x:v>
      </x:c>
      <x:c r="L35" s="145" t="str">
        <x:v>栈与队列</x:v>
      </x:c>
      <x:c r="M35" s="145" t="str">
        <x:v>栈与队列</x:v>
      </x:c>
      <x:c r="N35" s="165" t="str">
        <x:v>双栈模拟</x:v>
      </x:c>
      <x:c r="O35" s="165" t="str">
        <x:v>Grind 75核心</x:v>
      </x:c>
      <x:c r="P35" s="171" t="n">
        <x:v>13</x:v>
      </x:c>
      <x:c r="Q35" s="151" t="str">
        <x:v>空白编辑器重写，禁止看旧代码，卡住五分钟后只看最小提示</x:v>
      </x:c>
      <x:c r="R35" s="145" t="str">
        <x:v>未开始</x:v>
      </x:c>
      <x:c r="S35" s="145"/>
      <x:c r="T35" s="177"/>
      <x:c r="U35" s="145"/>
      <x:c r="V35" s="151"/>
      <x:c r="W35" s="112" t="str">
        <x:v>https://leetcode.com/problems/implement-queue-using-stacks/</x:v>
      </x:c>
    </x:row>
    <x:row r="36" ht="34" customHeight="1">
      <x:c r="A36" s="99" t="n">
        <x:v>7</x:v>
      </x:c>
      <x:c r="B36" s="145" t="str">
        <x:v>阶段一 基础模式与语言热身</x:v>
      </x:c>
      <x:c r="C36" s="145" t="n">
        <x:v>2</x:v>
      </x:c>
      <x:c r="D36" s="145" t="str">
        <x:v>新题</x:v>
      </x:c>
      <x:c r="E36" s="145" t="str">
        <x:v>主练一</x:v>
      </x:c>
      <x:c r="F36" s="145" t="n">
        <x:v>0</x:v>
      </x:c>
      <x:c r="G36" s="145" t="n">
        <x:v>0</x:v>
      </x:c>
      <x:c r="H36" s="145" t="n">
        <x:v>543</x:v>
      </x:c>
      <x:c r="I36" s="151" t="str">
        <x:v>二叉树的直径</x:v>
      </x:c>
      <x:c r="J36" s="151" t="str">
        <x:v>Diameter of Binary Tree</x:v>
      </x:c>
      <x:c r="K36" s="145" t="str">
        <x:v>简单</x:v>
      </x:c>
      <x:c r="L36" s="145" t="str">
        <x:v>树与递归</x:v>
      </x:c>
      <x:c r="M36" s="145" t="str">
        <x:v>二叉树</x:v>
      </x:c>
      <x:c r="N36" s="165" t="str">
        <x:v>树形动态规划</x:v>
      </x:c>
      <x:c r="O36" s="165" t="str">
        <x:v>Grind 75核心</x:v>
      </x:c>
      <x:c r="P36" s="171" t="n">
        <x:v>30</x:v>
      </x:c>
      <x:c r="Q36" s="151" t="str">
        <x:v>盲做并先口述暴力法与优化方向，到时停笔，完成后写复杂度、边界与可追问点</x:v>
      </x:c>
      <x:c r="R36" s="145" t="str">
        <x:v>未开始</x:v>
      </x:c>
      <x:c r="S36" s="145"/>
      <x:c r="T36" s="177"/>
      <x:c r="U36" s="145"/>
      <x:c r="V36" s="151"/>
      <x:c r="W36" s="112" t="str">
        <x:v>https://leetcode.com/problems/diameter-of-binary-tree/</x:v>
      </x:c>
    </x:row>
    <x:row r="37" ht="34" customHeight="1">
      <x:c r="A37" s="99" t="n">
        <x:v>7</x:v>
      </x:c>
      <x:c r="B37" s="145" t="str">
        <x:v>阶段一 基础模式与语言热身</x:v>
      </x:c>
      <x:c r="C37" s="145" t="n">
        <x:v>3</x:v>
      </x:c>
      <x:c r="D37" s="145" t="str">
        <x:v>新题</x:v>
      </x:c>
      <x:c r="E37" s="145" t="str">
        <x:v>主练二</x:v>
      </x:c>
      <x:c r="F37" s="145" t="n">
        <x:v>0</x:v>
      </x:c>
      <x:c r="G37" s="145" t="n">
        <x:v>0</x:v>
      </x:c>
      <x:c r="H37" s="145" t="n">
        <x:v>876</x:v>
      </x:c>
      <x:c r="I37" s="151" t="str">
        <x:v>链表的中间结点</x:v>
      </x:c>
      <x:c r="J37" s="151" t="str">
        <x:v>Middle of the Linked List</x:v>
      </x:c>
      <x:c r="K37" s="145" t="str">
        <x:v>简单</x:v>
      </x:c>
      <x:c r="L37" s="145" t="str">
        <x:v>链表</x:v>
      </x:c>
      <x:c r="M37" s="145" t="str">
        <x:v>链表</x:v>
      </x:c>
      <x:c r="N37" s="165" t="str">
        <x:v>快慢指针</x:v>
      </x:c>
      <x:c r="O37" s="165" t="str">
        <x:v>Grind 75核心</x:v>
      </x:c>
      <x:c r="P37" s="171" t="n">
        <x:v>20</x:v>
      </x:c>
      <x:c r="Q37" s="151" t="str">
        <x:v>盲做并先口述暴力法与优化方向，到时停笔，完成后写复杂度、边界与可追问点</x:v>
      </x:c>
      <x:c r="R37" s="145" t="str">
        <x:v>未开始</x:v>
      </x:c>
      <x:c r="S37" s="145"/>
      <x:c r="T37" s="177"/>
      <x:c r="U37" s="145"/>
      <x:c r="V37" s="151"/>
      <x:c r="W37" s="112" t="str">
        <x:v>https://leetcode.com/problems/middle-of-the-linked-list/</x:v>
      </x:c>
    </x:row>
    <x:row r="38" ht="34" customHeight="1">
      <x:c r="A38" s="99" t="n">
        <x:v>7</x:v>
      </x:c>
      <x:c r="B38" s="145" t="str">
        <x:v>阶段一 基础模式与语言热身</x:v>
      </x:c>
      <x:c r="C38" s="145" t="n">
        <x:v>4</x:v>
      </x:c>
      <x:c r="D38" s="145" t="str">
        <x:v>短间隔复做</x:v>
      </x:c>
      <x:c r="E38" s="145" t="str">
        <x:v>短测复做</x:v>
      </x:c>
      <x:c r="F38" s="145" t="n">
        <x:v>3</x:v>
      </x:c>
      <x:c r="G38" s="145" t="n">
        <x:v>3</x:v>
      </x:c>
      <x:c r="H38" s="145" t="n">
        <x:v>278</x:v>
      </x:c>
      <x:c r="I38" s="151" t="str">
        <x:v>第一个错误的版本</x:v>
      </x:c>
      <x:c r="J38" s="151" t="str">
        <x:v>First Bad Version</x:v>
      </x:c>
      <x:c r="K38" s="145" t="str">
        <x:v>简单</x:v>
      </x:c>
      <x:c r="L38" s="145" t="str">
        <x:v>二分查找</x:v>
      </x:c>
      <x:c r="M38" s="145" t="str">
        <x:v>二分查找</x:v>
      </x:c>
      <x:c r="N38" s="165" t="str">
        <x:v>左边界查找</x:v>
      </x:c>
      <x:c r="O38" s="165" t="str">
        <x:v>Grind 75核心</x:v>
      </x:c>
      <x:c r="P38" s="171" t="n">
        <x:v>13</x:v>
      </x:c>
      <x:c r="Q38" s="151" t="str">
        <x:v>空白编辑器重写，禁止看旧代码，卡住五分钟后只看最小提示</x:v>
      </x:c>
      <x:c r="R38" s="145" t="str">
        <x:v>未开始</x:v>
      </x:c>
      <x:c r="S38" s="145"/>
      <x:c r="T38" s="177"/>
      <x:c r="U38" s="145"/>
      <x:c r="V38" s="151"/>
      <x:c r="W38" s="112" t="str">
        <x:v>https://leetcode.com/problems/first-bad-version/</x:v>
      </x:c>
    </x:row>
    <x:row r="39" ht="34" customHeight="1">
      <x:c r="A39" s="99" t="n">
        <x:v>7</x:v>
      </x:c>
      <x:c r="B39" s="145" t="str">
        <x:v>阶段一 基础模式与语言热身</x:v>
      </x:c>
      <x:c r="C39" s="145" t="n">
        <x:v>5</x:v>
      </x:c>
      <x:c r="D39" s="145" t="str">
        <x:v>新题</x:v>
      </x:c>
      <x:c r="E39" s="145" t="str">
        <x:v>主练三</x:v>
      </x:c>
      <x:c r="F39" s="145" t="n">
        <x:v>0</x:v>
      </x:c>
      <x:c r="G39" s="145" t="n">
        <x:v>0</x:v>
      </x:c>
      <x:c r="H39" s="145" t="n">
        <x:v>104</x:v>
      </x:c>
      <x:c r="I39" s="151" t="str">
        <x:v>二叉树的最大深度</x:v>
      </x:c>
      <x:c r="J39" s="151" t="str">
        <x:v>Maximum Depth of Binary Tree</x:v>
      </x:c>
      <x:c r="K39" s="145" t="str">
        <x:v>简单</x:v>
      </x:c>
      <x:c r="L39" s="145" t="str">
        <x:v>树与递归</x:v>
      </x:c>
      <x:c r="M39" s="145" t="str">
        <x:v>二叉树</x:v>
      </x:c>
      <x:c r="N39" s="165" t="str">
        <x:v>深搜或层序遍历</x:v>
      </x:c>
      <x:c r="O39" s="165" t="str">
        <x:v>Grind 75核心</x:v>
      </x:c>
      <x:c r="P39" s="171" t="n">
        <x:v>15</x:v>
      </x:c>
      <x:c r="Q39" s="151" t="str">
        <x:v>盲做并先口述暴力法与优化方向，到时停笔，完成后写复杂度、边界与可追问点</x:v>
      </x:c>
      <x:c r="R39" s="145" t="str">
        <x:v>未开始</x:v>
      </x:c>
      <x:c r="S39" s="145"/>
      <x:c r="T39" s="177"/>
      <x:c r="U39" s="145"/>
      <x:c r="V39" s="151"/>
      <x:c r="W39" s="112" t="str">
        <x:v>https://leetcode.com/problems/maximum-depth-of-binary-tree/</x:v>
      </x:c>
    </x:row>
    <x:row r="40" ht="34" customHeight="1">
      <x:c r="A40" s="99" t="n">
        <x:v>8</x:v>
      </x:c>
      <x:c r="B40" s="145" t="str">
        <x:v>阶段一 基础模式与语言热身</x:v>
      </x:c>
      <x:c r="C40" s="145" t="n">
        <x:v>1</x:v>
      </x:c>
      <x:c r="D40" s="145" t="str">
        <x:v>短间隔复做</x:v>
      </x:c>
      <x:c r="E40" s="145" t="str">
        <x:v>主动回忆热身</x:v>
      </x:c>
      <x:c r="F40" s="145" t="n">
        <x:v>5</x:v>
      </x:c>
      <x:c r="G40" s="145" t="n">
        <x:v>5</x:v>
      </x:c>
      <x:c r="H40" s="145" t="n">
        <x:v>110</x:v>
      </x:c>
      <x:c r="I40" s="151" t="str">
        <x:v>平衡二叉树</x:v>
      </x:c>
      <x:c r="J40" s="151" t="str">
        <x:v>Balanced Binary Tree</x:v>
      </x:c>
      <x:c r="K40" s="145" t="str">
        <x:v>简单</x:v>
      </x:c>
      <x:c r="L40" s="145" t="str">
        <x:v>树与递归</x:v>
      </x:c>
      <x:c r="M40" s="145" t="str">
        <x:v>二叉树</x:v>
      </x:c>
      <x:c r="N40" s="165" t="str">
        <x:v>自底向上递归</x:v>
      </x:c>
      <x:c r="O40" s="165" t="str">
        <x:v>Grind 75核心</x:v>
      </x:c>
      <x:c r="P40" s="171" t="n">
        <x:v>12</x:v>
      </x:c>
      <x:c r="Q40" s="151" t="str">
        <x:v>空白编辑器重写，禁止看旧代码，卡住五分钟后只看最小提示</x:v>
      </x:c>
      <x:c r="R40" s="145" t="str">
        <x:v>未开始</x:v>
      </x:c>
      <x:c r="S40" s="145"/>
      <x:c r="T40" s="177"/>
      <x:c r="U40" s="145"/>
      <x:c r="V40" s="151"/>
      <x:c r="W40" s="112" t="str">
        <x:v>https://leetcode.com/problems/balanced-binary-tree/</x:v>
      </x:c>
    </x:row>
    <x:row r="41" ht="34" customHeight="1">
      <x:c r="A41" s="99" t="n">
        <x:v>8</x:v>
      </x:c>
      <x:c r="B41" s="145" t="str">
        <x:v>阶段一 基础模式与语言热身</x:v>
      </x:c>
      <x:c r="C41" s="145" t="n">
        <x:v>2</x:v>
      </x:c>
      <x:c r="D41" s="145" t="str">
        <x:v>新题</x:v>
      </x:c>
      <x:c r="E41" s="145" t="str">
        <x:v>主练一</x:v>
      </x:c>
      <x:c r="F41" s="145" t="n">
        <x:v>0</x:v>
      </x:c>
      <x:c r="G41" s="145" t="n">
        <x:v>0</x:v>
      </x:c>
      <x:c r="H41" s="145" t="n">
        <x:v>217</x:v>
      </x:c>
      <x:c r="I41" s="151" t="str">
        <x:v>存在重复元素</x:v>
      </x:c>
      <x:c r="J41" s="151" t="str">
        <x:v>Contains Duplicate</x:v>
      </x:c>
      <x:c r="K41" s="145" t="str">
        <x:v>简单</x:v>
      </x:c>
      <x:c r="L41" s="145" t="str">
        <x:v>数组与哈希</x:v>
      </x:c>
      <x:c r="M41" s="145" t="str">
        <x:v>数组与哈希</x:v>
      </x:c>
      <x:c r="N41" s="165" t="str">
        <x:v>集合去重</x:v>
      </x:c>
      <x:c r="O41" s="165" t="str">
        <x:v>Grind 75核心</x:v>
      </x:c>
      <x:c r="P41" s="171" t="n">
        <x:v>15</x:v>
      </x:c>
      <x:c r="Q41" s="151" t="str">
        <x:v>盲做并先口述暴力法与优化方向，到时停笔，完成后写复杂度、边界与可追问点</x:v>
      </x:c>
      <x:c r="R41" s="145" t="str">
        <x:v>未开始</x:v>
      </x:c>
      <x:c r="S41" s="145"/>
      <x:c r="T41" s="177"/>
      <x:c r="U41" s="145"/>
      <x:c r="V41" s="151"/>
      <x:c r="W41" s="112" t="str">
        <x:v>https://leetcode.com/problems/contains-duplicate/</x:v>
      </x:c>
    </x:row>
    <x:row r="42" ht="34" customHeight="1">
      <x:c r="A42" s="99" t="n">
        <x:v>8</x:v>
      </x:c>
      <x:c r="B42" s="145" t="str">
        <x:v>阶段一 基础模式与语言热身</x:v>
      </x:c>
      <x:c r="C42" s="145" t="n">
        <x:v>3</x:v>
      </x:c>
      <x:c r="D42" s="145" t="str">
        <x:v>新题</x:v>
      </x:c>
      <x:c r="E42" s="145" t="str">
        <x:v>主练二</x:v>
      </x:c>
      <x:c r="F42" s="145" t="n">
        <x:v>0</x:v>
      </x:c>
      <x:c r="G42" s="145" t="n">
        <x:v>0</x:v>
      </x:c>
      <x:c r="H42" s="145" t="n">
        <x:v>53</x:v>
      </x:c>
      <x:c r="I42" s="151" t="str">
        <x:v>最大子数组和</x:v>
      </x:c>
      <x:c r="J42" s="151" t="str">
        <x:v>Maximum Subarray</x:v>
      </x:c>
      <x:c r="K42" s="145" t="str">
        <x:v>中等</x:v>
      </x:c>
      <x:c r="L42" s="145" t="str">
        <x:v>动态规划</x:v>
      </x:c>
      <x:c r="M42" s="145" t="str">
        <x:v>动态规划</x:v>
      </x:c>
      <x:c r="N42" s="165" t="str">
        <x:v>Kadane状态转移</x:v>
      </x:c>
      <x:c r="O42" s="165" t="str">
        <x:v>Grind 75核心</x:v>
      </x:c>
      <x:c r="P42" s="171" t="n">
        <x:v>20</x:v>
      </x:c>
      <x:c r="Q42" s="151" t="str">
        <x:v>盲做并先口述暴力法与优化方向，到时停笔，完成后写复杂度、边界与可追问点</x:v>
      </x:c>
      <x:c r="R42" s="145" t="str">
        <x:v>未开始</x:v>
      </x:c>
      <x:c r="S42" s="145"/>
      <x:c r="T42" s="177"/>
      <x:c r="U42" s="145"/>
      <x:c r="V42" s="151"/>
      <x:c r="W42" s="112" t="str">
        <x:v>https://leetcode.com/problems/maximum-subarray/</x:v>
      </x:c>
    </x:row>
    <x:row r="43" ht="34" customHeight="1">
      <x:c r="A43" s="99" t="n">
        <x:v>8</x:v>
      </x:c>
      <x:c r="B43" s="145" t="str">
        <x:v>阶段一 基础模式与语言热身</x:v>
      </x:c>
      <x:c r="C43" s="145" t="n">
        <x:v>4</x:v>
      </x:c>
      <x:c r="D43" s="145" t="str">
        <x:v>短间隔复做</x:v>
      </x:c>
      <x:c r="E43" s="145" t="str">
        <x:v>短测复做</x:v>
      </x:c>
      <x:c r="F43" s="145" t="n">
        <x:v>4</x:v>
      </x:c>
      <x:c r="G43" s="145" t="n">
        <x:v>4</x:v>
      </x:c>
      <x:c r="H43" s="145" t="n">
        <x:v>141</x:v>
      </x:c>
      <x:c r="I43" s="151" t="str">
        <x:v>环形链表</x:v>
      </x:c>
      <x:c r="J43" s="151" t="str">
        <x:v>Linked List Cycle</x:v>
      </x:c>
      <x:c r="K43" s="145" t="str">
        <x:v>简单</x:v>
      </x:c>
      <x:c r="L43" s="145" t="str">
        <x:v>链表</x:v>
      </x:c>
      <x:c r="M43" s="145" t="str">
        <x:v>链表</x:v>
      </x:c>
      <x:c r="N43" s="165" t="str">
        <x:v>快慢指针</x:v>
      </x:c>
      <x:c r="O43" s="165" t="str">
        <x:v>Grind 75核心</x:v>
      </x:c>
      <x:c r="P43" s="171" t="n">
        <x:v>13</x:v>
      </x:c>
      <x:c r="Q43" s="151" t="str">
        <x:v>空白编辑器重写，禁止看旧代码，卡住五分钟后只看最小提示</x:v>
      </x:c>
      <x:c r="R43" s="145" t="str">
        <x:v>未开始</x:v>
      </x:c>
      <x:c r="S43" s="145"/>
      <x:c r="T43" s="177"/>
      <x:c r="U43" s="145"/>
      <x:c r="V43" s="151"/>
      <x:c r="W43" s="112" t="str">
        <x:v>https://leetcode.com/problems/linked-list-cycle/</x:v>
      </x:c>
    </x:row>
    <x:row r="44" ht="34" customHeight="1">
      <x:c r="A44" s="99" t="n">
        <x:v>8</x:v>
      </x:c>
      <x:c r="B44" s="145" t="str">
        <x:v>阶段一 基础模式与语言热身</x:v>
      </x:c>
      <x:c r="C44" s="145" t="n">
        <x:v>5</x:v>
      </x:c>
      <x:c r="D44" s="145" t="str">
        <x:v>新题</x:v>
      </x:c>
      <x:c r="E44" s="145" t="str">
        <x:v>主练三</x:v>
      </x:c>
      <x:c r="F44" s="145" t="n">
        <x:v>0</x:v>
      </x:c>
      <x:c r="G44" s="145" t="n">
        <x:v>0</x:v>
      </x:c>
      <x:c r="H44" s="145" t="n">
        <x:v>57</x:v>
      </x:c>
      <x:c r="I44" s="151" t="str">
        <x:v>插入区间</x:v>
      </x:c>
      <x:c r="J44" s="151" t="str">
        <x:v>Insert Interval</x:v>
      </x:c>
      <x:c r="K44" s="145" t="str">
        <x:v>中等</x:v>
      </x:c>
      <x:c r="L44" s="145" t="str">
        <x:v>贪心与区间</x:v>
      </x:c>
      <x:c r="M44" s="145" t="str">
        <x:v>区间与贪心</x:v>
      </x:c>
      <x:c r="N44" s="165" t="str">
        <x:v>区间分类与合并</x:v>
      </x:c>
      <x:c r="O44" s="165" t="str">
        <x:v>Grind 75核心</x:v>
      </x:c>
      <x:c r="P44" s="171" t="n">
        <x:v>25</x:v>
      </x:c>
      <x:c r="Q44" s="151" t="str">
        <x:v>盲做并先口述暴力法与优化方向，到时停笔，完成后写复杂度、边界与可追问点</x:v>
      </x:c>
      <x:c r="R44" s="145" t="str">
        <x:v>未开始</x:v>
      </x:c>
      <x:c r="S44" s="145"/>
      <x:c r="T44" s="177"/>
      <x:c r="U44" s="145"/>
      <x:c r="V44" s="151"/>
      <x:c r="W44" s="112" t="str">
        <x:v>https://leetcode.com/problems/insert-interval/</x:v>
      </x:c>
    </x:row>
    <x:row r="45" ht="34" customHeight="1">
      <x:c r="A45" s="99" t="n">
        <x:v>9</x:v>
      </x:c>
      <x:c r="B45" s="145" t="str">
        <x:v>阶段二 高频中等题主干</x:v>
      </x:c>
      <x:c r="C45" s="145" t="n">
        <x:v>1</x:v>
      </x:c>
      <x:c r="D45" s="145" t="str">
        <x:v>短间隔复做</x:v>
      </x:c>
      <x:c r="E45" s="145" t="str">
        <x:v>主动回忆热身</x:v>
      </x:c>
      <x:c r="F45" s="145" t="n">
        <x:v>4</x:v>
      </x:c>
      <x:c r="G45" s="145" t="n">
        <x:v>4</x:v>
      </x:c>
      <x:c r="H45" s="145" t="n">
        <x:v>383</x:v>
      </x:c>
      <x:c r="I45" s="151" t="str">
        <x:v>赎金信</x:v>
      </x:c>
      <x:c r="J45" s="151" t="str">
        <x:v>Ransom Note</x:v>
      </x:c>
      <x:c r="K45" s="145" t="str">
        <x:v>简单</x:v>
      </x:c>
      <x:c r="L45" s="145" t="str">
        <x:v>数组与哈希</x:v>
      </x:c>
      <x:c r="M45" s="145" t="str">
        <x:v>数组与哈希</x:v>
      </x:c>
      <x:c r="N45" s="165" t="str">
        <x:v>字符频次计数</x:v>
      </x:c>
      <x:c r="O45" s="165" t="str">
        <x:v>Grind 75核心</x:v>
      </x:c>
      <x:c r="P45" s="171" t="n">
        <x:v>12</x:v>
      </x:c>
      <x:c r="Q45" s="151" t="str">
        <x:v>空白编辑器重写，禁止看旧代码，卡住五分钟后只看最小提示</x:v>
      </x:c>
      <x:c r="R45" s="145" t="str">
        <x:v>未开始</x:v>
      </x:c>
      <x:c r="S45" s="145"/>
      <x:c r="T45" s="177"/>
      <x:c r="U45" s="145"/>
      <x:c r="V45" s="151"/>
      <x:c r="W45" s="112" t="str">
        <x:v>https://leetcode.com/problems/ransom-note/</x:v>
      </x:c>
    </x:row>
    <x:row r="46" ht="34" customHeight="1">
      <x:c r="A46" s="99" t="n">
        <x:v>9</x:v>
      </x:c>
      <x:c r="B46" s="145" t="str">
        <x:v>阶段二 高频中等题主干</x:v>
      </x:c>
      <x:c r="C46" s="145" t="n">
        <x:v>2</x:v>
      </x:c>
      <x:c r="D46" s="145" t="str">
        <x:v>新题</x:v>
      </x:c>
      <x:c r="E46" s="145" t="str">
        <x:v>主练一</x:v>
      </x:c>
      <x:c r="F46" s="145" t="n">
        <x:v>0</x:v>
      </x:c>
      <x:c r="G46" s="145" t="n">
        <x:v>0</x:v>
      </x:c>
      <x:c r="H46" s="145" t="n">
        <x:v>542</x:v>
      </x:c>
      <x:c r="I46" s="151" t="str">
        <x:v>01矩阵</x:v>
      </x:c>
      <x:c r="J46" s="151" t="str">
        <x:v>01 Matrix</x:v>
      </x:c>
      <x:c r="K46" s="145" t="str">
        <x:v>中等</x:v>
      </x:c>
      <x:c r="L46" s="145" t="str">
        <x:v>图与并查集</x:v>
      </x:c>
      <x:c r="M46" s="145" t="str">
        <x:v>图论</x:v>
      </x:c>
      <x:c r="N46" s="165" t="str">
        <x:v>多源广搜</x:v>
      </x:c>
      <x:c r="O46" s="165" t="str">
        <x:v>Grind 75核心</x:v>
      </x:c>
      <x:c r="P46" s="171" t="n">
        <x:v>30</x:v>
      </x:c>
      <x:c r="Q46" s="151" t="str">
        <x:v>盲做并先口述暴力法与优化方向，到时停笔，完成后写复杂度、边界与可追问点</x:v>
      </x:c>
      <x:c r="R46" s="145" t="str">
        <x:v>未开始</x:v>
      </x:c>
      <x:c r="S46" s="145"/>
      <x:c r="T46" s="177"/>
      <x:c r="U46" s="145"/>
      <x:c r="V46" s="151"/>
      <x:c r="W46" s="112" t="str">
        <x:v>https://leetcode.com/problems/01-matrix/</x:v>
      </x:c>
    </x:row>
    <x:row r="47" ht="34" customHeight="1">
      <x:c r="A47" s="99" t="n">
        <x:v>9</x:v>
      </x:c>
      <x:c r="B47" s="145" t="str">
        <x:v>阶段二 高频中等题主干</x:v>
      </x:c>
      <x:c r="C47" s="145" t="n">
        <x:v>3</x:v>
      </x:c>
      <x:c r="D47" s="145" t="str">
        <x:v>短间隔复做</x:v>
      </x:c>
      <x:c r="E47" s="145" t="str">
        <x:v>交错复盘</x:v>
      </x:c>
      <x:c r="F47" s="145" t="n">
        <x:v>4</x:v>
      </x:c>
      <x:c r="G47" s="145" t="n">
        <x:v>4</x:v>
      </x:c>
      <x:c r="H47" s="145" t="n">
        <x:v>70</x:v>
      </x:c>
      <x:c r="I47" s="151" t="str">
        <x:v>爬楼梯</x:v>
      </x:c>
      <x:c r="J47" s="151" t="str">
        <x:v>Climbing Stairs</x:v>
      </x:c>
      <x:c r="K47" s="145" t="str">
        <x:v>简单</x:v>
      </x:c>
      <x:c r="L47" s="145" t="str">
        <x:v>动态规划</x:v>
      </x:c>
      <x:c r="M47" s="145" t="str">
        <x:v>动态规划</x:v>
      </x:c>
      <x:c r="N47" s="165" t="str">
        <x:v>一维状态转移</x:v>
      </x:c>
      <x:c r="O47" s="165" t="str">
        <x:v>Grind 75核心</x:v>
      </x:c>
      <x:c r="P47" s="171" t="n">
        <x:v>13</x:v>
      </x:c>
      <x:c r="Q47" s="151" t="str">
        <x:v>空白编辑器重写，禁止看旧代码，卡住五分钟后只看最小提示</x:v>
      </x:c>
      <x:c r="R47" s="145" t="str">
        <x:v>未开始</x:v>
      </x:c>
      <x:c r="S47" s="145"/>
      <x:c r="T47" s="177"/>
      <x:c r="U47" s="145"/>
      <x:c r="V47" s="151"/>
      <x:c r="W47" s="112" t="str">
        <x:v>https://leetcode.com/problems/climbing-stairs/</x:v>
      </x:c>
    </x:row>
    <x:row r="48" ht="34" customHeight="1">
      <x:c r="A48" s="99" t="n">
        <x:v>9</x:v>
      </x:c>
      <x:c r="B48" s="145" t="str">
        <x:v>阶段二 高频中等题主干</x:v>
      </x:c>
      <x:c r="C48" s="145" t="n">
        <x:v>4</x:v>
      </x:c>
      <x:c r="D48" s="145" t="str">
        <x:v>新题</x:v>
      </x:c>
      <x:c r="E48" s="145" t="str">
        <x:v>主练二</x:v>
      </x:c>
      <x:c r="F48" s="145" t="n">
        <x:v>0</x:v>
      </x:c>
      <x:c r="G48" s="145" t="n">
        <x:v>0</x:v>
      </x:c>
      <x:c r="H48" s="145" t="n">
        <x:v>973</x:v>
      </x:c>
      <x:c r="I48" s="151" t="str">
        <x:v>最接近原点的K个点</x:v>
      </x:c>
      <x:c r="J48" s="151" t="str">
        <x:v>K Closest Points to Origin</x:v>
      </x:c>
      <x:c r="K48" s="145" t="str">
        <x:v>中等</x:v>
      </x:c>
      <x:c r="L48" s="145" t="str">
        <x:v>堆与优先队列</x:v>
      </x:c>
      <x:c r="M48" s="145" t="str">
        <x:v>堆与优先队列</x:v>
      </x:c>
      <x:c r="N48" s="165" t="str">
        <x:v>Top K与堆</x:v>
      </x:c>
      <x:c r="O48" s="165" t="str">
        <x:v>Grind 75核心</x:v>
      </x:c>
      <x:c r="P48" s="171" t="n">
        <x:v>30</x:v>
      </x:c>
      <x:c r="Q48" s="151" t="str">
        <x:v>盲做并先口述暴力法与优化方向，到时停笔，完成后写复杂度、边界与可追问点</x:v>
      </x:c>
      <x:c r="R48" s="145" t="str">
        <x:v>未开始</x:v>
      </x:c>
      <x:c r="S48" s="145"/>
      <x:c r="T48" s="177"/>
      <x:c r="U48" s="145"/>
      <x:c r="V48" s="151"/>
      <x:c r="W48" s="112" t="str">
        <x:v>https://leetcode.com/problems/k-closest-points-to-origin/</x:v>
      </x:c>
    </x:row>
    <x:row r="49" ht="34" customHeight="1">
      <x:c r="A49" s="99" t="n">
        <x:v>9</x:v>
      </x:c>
      <x:c r="B49" s="145" t="str">
        <x:v>阶段二 高频中等题主干</x:v>
      </x:c>
      <x:c r="C49" s="145" t="n">
        <x:v>5</x:v>
      </x:c>
      <x:c r="D49" s="145" t="str">
        <x:v>短间隔复做</x:v>
      </x:c>
      <x:c r="E49" s="145" t="str">
        <x:v>长间隔复做</x:v>
      </x:c>
      <x:c r="F49" s="145" t="n">
        <x:v>4</x:v>
      </x:c>
      <x:c r="G49" s="145" t="n">
        <x:v>4</x:v>
      </x:c>
      <x:c r="H49" s="145" t="n">
        <x:v>409</x:v>
      </x:c>
      <x:c r="I49" s="151" t="str">
        <x:v>最长回文串</x:v>
      </x:c>
      <x:c r="J49" s="151" t="str">
        <x:v>Longest Palindrome</x:v>
      </x:c>
      <x:c r="K49" s="145" t="str">
        <x:v>简单</x:v>
      </x:c>
      <x:c r="L49" s="145" t="str">
        <x:v>字符串</x:v>
      </x:c>
      <x:c r="M49" s="145" t="str">
        <x:v>字符串与哈希</x:v>
      </x:c>
      <x:c r="N49" s="165" t="str">
        <x:v>频次奇偶性</x:v>
      </x:c>
      <x:c r="O49" s="165" t="str">
        <x:v>Grind 75核心</x:v>
      </x:c>
      <x:c r="P49" s="171" t="n">
        <x:v>13</x:v>
      </x:c>
      <x:c r="Q49" s="151" t="str">
        <x:v>空白编辑器重写，禁止看旧代码，卡住五分钟后只看最小提示</x:v>
      </x:c>
      <x:c r="R49" s="145" t="str">
        <x:v>未开始</x:v>
      </x:c>
      <x:c r="S49" s="145"/>
      <x:c r="T49" s="177"/>
      <x:c r="U49" s="145"/>
      <x:c r="V49" s="151"/>
      <x:c r="W49" s="112" t="str">
        <x:v>https://leetcode.com/problems/longest-palindrome/</x:v>
      </x:c>
    </x:row>
    <x:row r="50" ht="34" customHeight="1">
      <x:c r="A50" s="99" t="n">
        <x:v>10</x:v>
      </x:c>
      <x:c r="B50" s="145" t="str">
        <x:v>阶段二 高频中等题主干</x:v>
      </x:c>
      <x:c r="C50" s="145" t="n">
        <x:v>1</x:v>
      </x:c>
      <x:c r="D50" s="145" t="str">
        <x:v>短间隔复做</x:v>
      </x:c>
      <x:c r="E50" s="145" t="str">
        <x:v>主动回忆热身</x:v>
      </x:c>
      <x:c r="F50" s="145" t="n">
        <x:v>4</x:v>
      </x:c>
      <x:c r="G50" s="145" t="n">
        <x:v>4</x:v>
      </x:c>
      <x:c r="H50" s="145" t="n">
        <x:v>206</x:v>
      </x:c>
      <x:c r="I50" s="151" t="str">
        <x:v>反转链表</x:v>
      </x:c>
      <x:c r="J50" s="151" t="str">
        <x:v>Reverse Linked List</x:v>
      </x:c>
      <x:c r="K50" s="145" t="str">
        <x:v>简单</x:v>
      </x:c>
      <x:c r="L50" s="145" t="str">
        <x:v>链表</x:v>
      </x:c>
      <x:c r="M50" s="145" t="str">
        <x:v>链表</x:v>
      </x:c>
      <x:c r="N50" s="165" t="str">
        <x:v>指针反转</x:v>
      </x:c>
      <x:c r="O50" s="165" t="str">
        <x:v>Grind 75核心</x:v>
      </x:c>
      <x:c r="P50" s="171" t="n">
        <x:v>13</x:v>
      </x:c>
      <x:c r="Q50" s="151" t="str">
        <x:v>空白编辑器重写，禁止看旧代码，卡住五分钟后只看最小提示</x:v>
      </x:c>
      <x:c r="R50" s="145" t="str">
        <x:v>未开始</x:v>
      </x:c>
      <x:c r="S50" s="145"/>
      <x:c r="T50" s="177"/>
      <x:c r="U50" s="145"/>
      <x:c r="V50" s="151"/>
      <x:c r="W50" s="112" t="str">
        <x:v>https://leetcode.com/problems/reverse-linked-list/</x:v>
      </x:c>
    </x:row>
    <x:row r="51" ht="34" customHeight="1">
      <x:c r="A51" s="99" t="n">
        <x:v>10</x:v>
      </x:c>
      <x:c r="B51" s="145" t="str">
        <x:v>阶段二 高频中等题主干</x:v>
      </x:c>
      <x:c r="C51" s="145" t="n">
        <x:v>2</x:v>
      </x:c>
      <x:c r="D51" s="145" t="str">
        <x:v>新题</x:v>
      </x:c>
      <x:c r="E51" s="145" t="str">
        <x:v>主练一</x:v>
      </x:c>
      <x:c r="F51" s="145" t="n">
        <x:v>0</x:v>
      </x:c>
      <x:c r="G51" s="145" t="n">
        <x:v>0</x:v>
      </x:c>
      <x:c r="H51" s="145" t="n">
        <x:v>3</x:v>
      </x:c>
      <x:c r="I51" s="151" t="str">
        <x:v>无重复字符的最长子串</x:v>
      </x:c>
      <x:c r="J51" s="151" t="str">
        <x:v>Longest Substring Without Repeating Characters</x:v>
      </x:c>
      <x:c r="K51" s="145" t="str">
        <x:v>中等</x:v>
      </x:c>
      <x:c r="L51" s="145" t="str">
        <x:v>滑动窗口与单调队列</x:v>
      </x:c>
      <x:c r="M51" s="145" t="str">
        <x:v>滑动窗口</x:v>
      </x:c>
      <x:c r="N51" s="165" t="str">
        <x:v>可变长度窗口</x:v>
      </x:c>
      <x:c r="O51" s="165" t="str">
        <x:v>Grind 75核心</x:v>
      </x:c>
      <x:c r="P51" s="171" t="n">
        <x:v>30</x:v>
      </x:c>
      <x:c r="Q51" s="151" t="str">
        <x:v>盲做并先口述暴力法与优化方向，到时停笔，完成后写复杂度、边界与可追问点</x:v>
      </x:c>
      <x:c r="R51" s="145" t="str">
        <x:v>未开始</x:v>
      </x:c>
      <x:c r="S51" s="145"/>
      <x:c r="T51" s="177"/>
      <x:c r="U51" s="145"/>
      <x:c r="V51" s="151"/>
      <x:c r="W51" s="112" t="str">
        <x:v>https://leetcode.com/problems/longest-substring-without-repeating-characters/</x:v>
      </x:c>
    </x:row>
    <x:row r="52" ht="34" customHeight="1">
      <x:c r="A52" s="99" t="n">
        <x:v>10</x:v>
      </x:c>
      <x:c r="B52" s="145" t="str">
        <x:v>阶段二 高频中等题主干</x:v>
      </x:c>
      <x:c r="C52" s="145" t="n">
        <x:v>3</x:v>
      </x:c>
      <x:c r="D52" s="145" t="str">
        <x:v>短间隔复做</x:v>
      </x:c>
      <x:c r="E52" s="145" t="str">
        <x:v>交错复盘</x:v>
      </x:c>
      <x:c r="F52" s="145" t="n">
        <x:v>4</x:v>
      </x:c>
      <x:c r="G52" s="145" t="n">
        <x:v>4</x:v>
      </x:c>
      <x:c r="H52" s="145" t="n">
        <x:v>169</x:v>
      </x:c>
      <x:c r="I52" s="151" t="str">
        <x:v>多数元素</x:v>
      </x:c>
      <x:c r="J52" s="151" t="str">
        <x:v>Majority Element</x:v>
      </x:c>
      <x:c r="K52" s="145" t="str">
        <x:v>简单</x:v>
      </x:c>
      <x:c r="L52" s="145" t="str">
        <x:v>贪心与区间</x:v>
      </x:c>
      <x:c r="M52" s="145" t="str">
        <x:v>数组与贪心</x:v>
      </x:c>
      <x:c r="N52" s="165" t="str">
        <x:v>Boyer Moore投票</x:v>
      </x:c>
      <x:c r="O52" s="165" t="str">
        <x:v>Grind 75核心</x:v>
      </x:c>
      <x:c r="P52" s="171" t="n">
        <x:v>13</x:v>
      </x:c>
      <x:c r="Q52" s="151" t="str">
        <x:v>空白编辑器重写，禁止看旧代码，卡住五分钟后只看最小提示</x:v>
      </x:c>
      <x:c r="R52" s="145" t="str">
        <x:v>未开始</x:v>
      </x:c>
      <x:c r="S52" s="145"/>
      <x:c r="T52" s="177"/>
      <x:c r="U52" s="145"/>
      <x:c r="V52" s="151"/>
      <x:c r="W52" s="112" t="str">
        <x:v>https://leetcode.com/problems/majority-element/</x:v>
      </x:c>
    </x:row>
    <x:row r="53" ht="34" customHeight="1">
      <x:c r="A53" s="99" t="n">
        <x:v>10</x:v>
      </x:c>
      <x:c r="B53" s="145" t="str">
        <x:v>阶段二 高频中等题主干</x:v>
      </x:c>
      <x:c r="C53" s="145" t="n">
        <x:v>4</x:v>
      </x:c>
      <x:c r="D53" s="145" t="str">
        <x:v>新题</x:v>
      </x:c>
      <x:c r="E53" s="145" t="str">
        <x:v>主练二</x:v>
      </x:c>
      <x:c r="F53" s="145" t="n">
        <x:v>0</x:v>
      </x:c>
      <x:c r="G53" s="145" t="n">
        <x:v>0</x:v>
      </x:c>
      <x:c r="H53" s="145" t="n">
        <x:v>15</x:v>
      </x:c>
      <x:c r="I53" s="151" t="str">
        <x:v>三数之和</x:v>
      </x:c>
      <x:c r="J53" s="151" t="str">
        <x:v>3Sum</x:v>
      </x:c>
      <x:c r="K53" s="145" t="str">
        <x:v>中等</x:v>
      </x:c>
      <x:c r="L53" s="145" t="str">
        <x:v>双指针</x:v>
      </x:c>
      <x:c r="M53" s="145" t="str">
        <x:v>双指针</x:v>
      </x:c>
      <x:c r="N53" s="165" t="str">
        <x:v>排序与对撞指针</x:v>
      </x:c>
      <x:c r="O53" s="165" t="str">
        <x:v>Grind 75核心</x:v>
      </x:c>
      <x:c r="P53" s="171" t="n">
        <x:v>30</x:v>
      </x:c>
      <x:c r="Q53" s="151" t="str">
        <x:v>盲做并先口述暴力法与优化方向，到时停笔，完成后写复杂度、边界与可追问点</x:v>
      </x:c>
      <x:c r="R53" s="145" t="str">
        <x:v>未开始</x:v>
      </x:c>
      <x:c r="S53" s="145"/>
      <x:c r="T53" s="177"/>
      <x:c r="U53" s="145"/>
      <x:c r="V53" s="151"/>
      <x:c r="W53" s="112" t="str">
        <x:v>https://leetcode.com/problems/3sum/</x:v>
      </x:c>
    </x:row>
    <x:row r="54" ht="34" customHeight="1">
      <x:c r="A54" s="99" t="n">
        <x:v>10</x:v>
      </x:c>
      <x:c r="B54" s="145" t="str">
        <x:v>阶段二 高频中等题主干</x:v>
      </x:c>
      <x:c r="C54" s="145" t="n">
        <x:v>5</x:v>
      </x:c>
      <x:c r="D54" s="145" t="str">
        <x:v>短间隔复做</x:v>
      </x:c>
      <x:c r="E54" s="145" t="str">
        <x:v>长间隔复做</x:v>
      </x:c>
      <x:c r="F54" s="145" t="n">
        <x:v>4</x:v>
      </x:c>
      <x:c r="G54" s="145" t="n">
        <x:v>4</x:v>
      </x:c>
      <x:c r="H54" s="145" t="n">
        <x:v>67</x:v>
      </x:c>
      <x:c r="I54" s="151" t="str">
        <x:v>二进制求和</x:v>
      </x:c>
      <x:c r="J54" s="151" t="str">
        <x:v>Add Binary</x:v>
      </x:c>
      <x:c r="K54" s="145" t="str">
        <x:v>简单</x:v>
      </x:c>
      <x:c r="L54" s="145" t="str">
        <x:v>位运算</x:v>
      </x:c>
      <x:c r="M54" s="145" t="str">
        <x:v>位运算与字符串</x:v>
      </x:c>
      <x:c r="N54" s="165" t="str">
        <x:v>逐位模拟进位</x:v>
      </x:c>
      <x:c r="O54" s="165" t="str">
        <x:v>Grind 75核心</x:v>
      </x:c>
      <x:c r="P54" s="171" t="n">
        <x:v>12</x:v>
      </x:c>
      <x:c r="Q54" s="151" t="str">
        <x:v>空白编辑器重写，禁止看旧代码，卡住五分钟后只看最小提示</x:v>
      </x:c>
      <x:c r="R54" s="145" t="str">
        <x:v>未开始</x:v>
      </x:c>
      <x:c r="S54" s="145"/>
      <x:c r="T54" s="177"/>
      <x:c r="U54" s="145"/>
      <x:c r="V54" s="151"/>
      <x:c r="W54" s="112" t="str">
        <x:v>https://leetcode.com/problems/add-binary/</x:v>
      </x:c>
    </x:row>
    <x:row r="55" ht="34" customHeight="1">
      <x:c r="A55" s="99" t="n">
        <x:v>11</x:v>
      </x:c>
      <x:c r="B55" s="145" t="str">
        <x:v>阶段二 高频中等题主干</x:v>
      </x:c>
      <x:c r="C55" s="145" t="n">
        <x:v>1</x:v>
      </x:c>
      <x:c r="D55" s="145" t="str">
        <x:v>短间隔复做</x:v>
      </x:c>
      <x:c r="E55" s="145" t="str">
        <x:v>主动回忆热身</x:v>
      </x:c>
      <x:c r="F55" s="145" t="n">
        <x:v>3</x:v>
      </x:c>
      <x:c r="G55" s="145" t="n">
        <x:v>3</x:v>
      </x:c>
      <x:c r="H55" s="145" t="n">
        <x:v>53</x:v>
      </x:c>
      <x:c r="I55" s="151" t="str">
        <x:v>最大子数组和</x:v>
      </x:c>
      <x:c r="J55" s="151" t="str">
        <x:v>Maximum Subarray</x:v>
      </x:c>
      <x:c r="K55" s="145" t="str">
        <x:v>中等</x:v>
      </x:c>
      <x:c r="L55" s="145" t="str">
        <x:v>动态规划</x:v>
      </x:c>
      <x:c r="M55" s="145" t="str">
        <x:v>动态规划</x:v>
      </x:c>
      <x:c r="N55" s="165" t="str">
        <x:v>Kadane状态转移</x:v>
      </x:c>
      <x:c r="O55" s="165" t="str">
        <x:v>Grind 75核心</x:v>
      </x:c>
      <x:c r="P55" s="171" t="n">
        <x:v>13</x:v>
      </x:c>
      <x:c r="Q55" s="151" t="str">
        <x:v>空白编辑器重写，禁止看旧代码，卡住五分钟后只看最小提示</x:v>
      </x:c>
      <x:c r="R55" s="145" t="str">
        <x:v>未开始</x:v>
      </x:c>
      <x:c r="S55" s="145"/>
      <x:c r="T55" s="177"/>
      <x:c r="U55" s="145"/>
      <x:c r="V55" s="151"/>
      <x:c r="W55" s="112" t="str">
        <x:v>https://leetcode.com/problems/maximum-subarray/</x:v>
      </x:c>
    </x:row>
    <x:row r="56" ht="34" customHeight="1">
      <x:c r="A56" s="99" t="n">
        <x:v>11</x:v>
      </x:c>
      <x:c r="B56" s="145" t="str">
        <x:v>阶段二 高频中等题主干</x:v>
      </x:c>
      <x:c r="C56" s="145" t="n">
        <x:v>2</x:v>
      </x:c>
      <x:c r="D56" s="145" t="str">
        <x:v>新题</x:v>
      </x:c>
      <x:c r="E56" s="145" t="str">
        <x:v>主练一</x:v>
      </x:c>
      <x:c r="F56" s="145" t="n">
        <x:v>0</x:v>
      </x:c>
      <x:c r="G56" s="145" t="n">
        <x:v>0</x:v>
      </x:c>
      <x:c r="H56" s="145" t="n">
        <x:v>102</x:v>
      </x:c>
      <x:c r="I56" s="151" t="str">
        <x:v>二叉树的层序遍历</x:v>
      </x:c>
      <x:c r="J56" s="151" t="str">
        <x:v>Binary Tree Level Order Traversal</x:v>
      </x:c>
      <x:c r="K56" s="145" t="str">
        <x:v>中等</x:v>
      </x:c>
      <x:c r="L56" s="145" t="str">
        <x:v>树与递归</x:v>
      </x:c>
      <x:c r="M56" s="145" t="str">
        <x:v>二叉树</x:v>
      </x:c>
      <x:c r="N56" s="165" t="str">
        <x:v>广搜分层</x:v>
      </x:c>
      <x:c r="O56" s="165" t="str">
        <x:v>Grind 75核心</x:v>
      </x:c>
      <x:c r="P56" s="171" t="n">
        <x:v>20</x:v>
      </x:c>
      <x:c r="Q56" s="151" t="str">
        <x:v>盲做并先口述暴力法与优化方向，到时停笔，完成后写复杂度、边界与可追问点</x:v>
      </x:c>
      <x:c r="R56" s="145" t="str">
        <x:v>未开始</x:v>
      </x:c>
      <x:c r="S56" s="145"/>
      <x:c r="T56" s="177"/>
      <x:c r="U56" s="145"/>
      <x:c r="V56" s="151"/>
      <x:c r="W56" s="112" t="str">
        <x:v>https://leetcode.com/problems/binary-tree-level-order-traversal/</x:v>
      </x:c>
    </x:row>
    <x:row r="57" ht="34" customHeight="1">
      <x:c r="A57" s="99" t="n">
        <x:v>11</x:v>
      </x:c>
      <x:c r="B57" s="145" t="str">
        <x:v>阶段二 高频中等题主干</x:v>
      </x:c>
      <x:c r="C57" s="145" t="n">
        <x:v>3</x:v>
      </x:c>
      <x:c r="D57" s="145" t="str">
        <x:v>短间隔复做</x:v>
      </x:c>
      <x:c r="E57" s="145" t="str">
        <x:v>交错复盘</x:v>
      </x:c>
      <x:c r="F57" s="145" t="n">
        <x:v>4</x:v>
      </x:c>
      <x:c r="G57" s="145" t="n">
        <x:v>4</x:v>
      </x:c>
      <x:c r="H57" s="145" t="n">
        <x:v>876</x:v>
      </x:c>
      <x:c r="I57" s="151" t="str">
        <x:v>链表的中间结点</x:v>
      </x:c>
      <x:c r="J57" s="151" t="str">
        <x:v>Middle of the Linked List</x:v>
      </x:c>
      <x:c r="K57" s="145" t="str">
        <x:v>简单</x:v>
      </x:c>
      <x:c r="L57" s="145" t="str">
        <x:v>链表</x:v>
      </x:c>
      <x:c r="M57" s="145" t="str">
        <x:v>链表</x:v>
      </x:c>
      <x:c r="N57" s="165" t="str">
        <x:v>快慢指针</x:v>
      </x:c>
      <x:c r="O57" s="165" t="str">
        <x:v>Grind 75核心</x:v>
      </x:c>
      <x:c r="P57" s="171" t="n">
        <x:v>13</x:v>
      </x:c>
      <x:c r="Q57" s="151" t="str">
        <x:v>空白编辑器重写，禁止看旧代码，卡住五分钟后只看最小提示</x:v>
      </x:c>
      <x:c r="R57" s="145" t="str">
        <x:v>未开始</x:v>
      </x:c>
      <x:c r="S57" s="145"/>
      <x:c r="T57" s="177"/>
      <x:c r="U57" s="145"/>
      <x:c r="V57" s="151"/>
      <x:c r="W57" s="112" t="str">
        <x:v>https://leetcode.com/problems/middle-of-the-linked-list/</x:v>
      </x:c>
    </x:row>
    <x:row r="58" ht="34" customHeight="1">
      <x:c r="A58" s="99" t="n">
        <x:v>11</x:v>
      </x:c>
      <x:c r="B58" s="145" t="str">
        <x:v>阶段二 高频中等题主干</x:v>
      </x:c>
      <x:c r="C58" s="145" t="n">
        <x:v>4</x:v>
      </x:c>
      <x:c r="D58" s="145" t="str">
        <x:v>新题</x:v>
      </x:c>
      <x:c r="E58" s="145" t="str">
        <x:v>主练二</x:v>
      </x:c>
      <x:c r="F58" s="145" t="n">
        <x:v>0</x:v>
      </x:c>
      <x:c r="G58" s="145" t="n">
        <x:v>0</x:v>
      </x:c>
      <x:c r="H58" s="145" t="n">
        <x:v>133</x:v>
      </x:c>
      <x:c r="I58" s="151" t="str">
        <x:v>克隆图</x:v>
      </x:c>
      <x:c r="J58" s="151" t="str">
        <x:v>Clone Graph</x:v>
      </x:c>
      <x:c r="K58" s="145" t="str">
        <x:v>中等</x:v>
      </x:c>
      <x:c r="L58" s="145" t="str">
        <x:v>图与并查集</x:v>
      </x:c>
      <x:c r="M58" s="145" t="str">
        <x:v>图论</x:v>
      </x:c>
      <x:c r="N58" s="165" t="str">
        <x:v>图遍历与映射</x:v>
      </x:c>
      <x:c r="O58" s="165" t="str">
        <x:v>Grind 75核心</x:v>
      </x:c>
      <x:c r="P58" s="171" t="n">
        <x:v>25</x:v>
      </x:c>
      <x:c r="Q58" s="151" t="str">
        <x:v>盲做并先口述暴力法与优化方向，到时停笔，完成后写复杂度、边界与可追问点</x:v>
      </x:c>
      <x:c r="R58" s="145" t="str">
        <x:v>未开始</x:v>
      </x:c>
      <x:c r="S58" s="145"/>
      <x:c r="T58" s="177"/>
      <x:c r="U58" s="145"/>
      <x:c r="V58" s="151"/>
      <x:c r="W58" s="112" t="str">
        <x:v>https://leetcode.com/problems/clone-graph/</x:v>
      </x:c>
    </x:row>
    <x:row r="59" ht="34" customHeight="1">
      <x:c r="A59" s="99" t="n">
        <x:v>11</x:v>
      </x:c>
      <x:c r="B59" s="145" t="str">
        <x:v>阶段二 高频中等题主干</x:v>
      </x:c>
      <x:c r="C59" s="145" t="n">
        <x:v>5</x:v>
      </x:c>
      <x:c r="D59" s="145" t="str">
        <x:v>短间隔复做</x:v>
      </x:c>
      <x:c r="E59" s="145" t="str">
        <x:v>长间隔复做</x:v>
      </x:c>
      <x:c r="F59" s="145" t="n">
        <x:v>3</x:v>
      </x:c>
      <x:c r="G59" s="145" t="n">
        <x:v>3</x:v>
      </x:c>
      <x:c r="H59" s="145" t="n">
        <x:v>217</x:v>
      </x:c>
      <x:c r="I59" s="151" t="str">
        <x:v>存在重复元素</x:v>
      </x:c>
      <x:c r="J59" s="151" t="str">
        <x:v>Contains Duplicate</x:v>
      </x:c>
      <x:c r="K59" s="145" t="str">
        <x:v>简单</x:v>
      </x:c>
      <x:c r="L59" s="145" t="str">
        <x:v>数组与哈希</x:v>
      </x:c>
      <x:c r="M59" s="145" t="str">
        <x:v>数组与哈希</x:v>
      </x:c>
      <x:c r="N59" s="165" t="str">
        <x:v>集合去重</x:v>
      </x:c>
      <x:c r="O59" s="165" t="str">
        <x:v>Grind 75核心</x:v>
      </x:c>
      <x:c r="P59" s="171" t="n">
        <x:v>12</x:v>
      </x:c>
      <x:c r="Q59" s="151" t="str">
        <x:v>空白编辑器重写，禁止看旧代码，卡住五分钟后只看最小提示</x:v>
      </x:c>
      <x:c r="R59" s="145" t="str">
        <x:v>未开始</x:v>
      </x:c>
      <x:c r="S59" s="145"/>
      <x:c r="T59" s="177"/>
      <x:c r="U59" s="145"/>
      <x:c r="V59" s="151"/>
      <x:c r="W59" s="112" t="str">
        <x:v>https://leetcode.com/problems/contains-duplicate/</x:v>
      </x:c>
    </x:row>
    <x:row r="60" ht="34" customHeight="1">
      <x:c r="A60" s="99" t="n">
        <x:v>12</x:v>
      </x:c>
      <x:c r="B60" s="145" t="str">
        <x:v>阶段二 高频中等题主干</x:v>
      </x:c>
      <x:c r="C60" s="145" t="n">
        <x:v>1</x:v>
      </x:c>
      <x:c r="D60" s="145" t="str">
        <x:v>短间隔复做</x:v>
      </x:c>
      <x:c r="E60" s="145" t="str">
        <x:v>主动回忆热身</x:v>
      </x:c>
      <x:c r="F60" s="145" t="n">
        <x:v>4</x:v>
      </x:c>
      <x:c r="G60" s="145" t="n">
        <x:v>4</x:v>
      </x:c>
      <x:c r="H60" s="145" t="n">
        <x:v>57</x:v>
      </x:c>
      <x:c r="I60" s="151" t="str">
        <x:v>插入区间</x:v>
      </x:c>
      <x:c r="J60" s="151" t="str">
        <x:v>Insert Interval</x:v>
      </x:c>
      <x:c r="K60" s="145" t="str">
        <x:v>中等</x:v>
      </x:c>
      <x:c r="L60" s="145" t="str">
        <x:v>贪心与区间</x:v>
      </x:c>
      <x:c r="M60" s="145" t="str">
        <x:v>区间与贪心</x:v>
      </x:c>
      <x:c r="N60" s="165" t="str">
        <x:v>区间分类与合并</x:v>
      </x:c>
      <x:c r="O60" s="165" t="str">
        <x:v>Grind 75核心</x:v>
      </x:c>
      <x:c r="P60" s="171" t="n">
        <x:v>16</x:v>
      </x:c>
      <x:c r="Q60" s="151" t="str">
        <x:v>空白编辑器重写，禁止看旧代码，卡住五分钟后只看最小提示</x:v>
      </x:c>
      <x:c r="R60" s="145" t="str">
        <x:v>未开始</x:v>
      </x:c>
      <x:c r="S60" s="145"/>
      <x:c r="T60" s="177"/>
      <x:c r="U60" s="145"/>
      <x:c r="V60" s="151"/>
      <x:c r="W60" s="112" t="str">
        <x:v>https://leetcode.com/problems/insert-interval/</x:v>
      </x:c>
    </x:row>
    <x:row r="61" ht="34" customHeight="1">
      <x:c r="A61" s="99" t="n">
        <x:v>12</x:v>
      </x:c>
      <x:c r="B61" s="145" t="str">
        <x:v>阶段二 高频中等题主干</x:v>
      </x:c>
      <x:c r="C61" s="145" t="n">
        <x:v>2</x:v>
      </x:c>
      <x:c r="D61" s="145" t="str">
        <x:v>新题</x:v>
      </x:c>
      <x:c r="E61" s="145" t="str">
        <x:v>主练一</x:v>
      </x:c>
      <x:c r="F61" s="145" t="n">
        <x:v>0</x:v>
      </x:c>
      <x:c r="G61" s="145" t="n">
        <x:v>0</x:v>
      </x:c>
      <x:c r="H61" s="145" t="n">
        <x:v>150</x:v>
      </x:c>
      <x:c r="I61" s="151" t="str">
        <x:v>逆波兰表达式求值</x:v>
      </x:c>
      <x:c r="J61" s="151" t="str">
        <x:v>Evaluate Reverse Polish Notation</x:v>
      </x:c>
      <x:c r="K61" s="145" t="str">
        <x:v>中等</x:v>
      </x:c>
      <x:c r="L61" s="145" t="str">
        <x:v>栈与队列</x:v>
      </x:c>
      <x:c r="M61" s="145" t="str">
        <x:v>栈与队列</x:v>
      </x:c>
      <x:c r="N61" s="165" t="str">
        <x:v>栈处理表达式</x:v>
      </x:c>
      <x:c r="O61" s="165" t="str">
        <x:v>Grind 75核心</x:v>
      </x:c>
      <x:c r="P61" s="171" t="n">
        <x:v>30</x:v>
      </x:c>
      <x:c r="Q61" s="151" t="str">
        <x:v>盲做并先口述暴力法与优化方向，到时停笔，完成后写复杂度、边界与可追问点</x:v>
      </x:c>
      <x:c r="R61" s="145" t="str">
        <x:v>未开始</x:v>
      </x:c>
      <x:c r="S61" s="145"/>
      <x:c r="T61" s="177"/>
      <x:c r="U61" s="145"/>
      <x:c r="V61" s="151"/>
      <x:c r="W61" s="112" t="str">
        <x:v>https://leetcode.com/problems/evaluate-reverse-polish-notation/</x:v>
      </x:c>
    </x:row>
    <x:row r="62" ht="34" customHeight="1">
      <x:c r="A62" s="99" t="n">
        <x:v>12</x:v>
      </x:c>
      <x:c r="B62" s="145" t="str">
        <x:v>阶段二 高频中等题主干</x:v>
      </x:c>
      <x:c r="C62" s="145" t="n">
        <x:v>3</x:v>
      </x:c>
      <x:c r="D62" s="145" t="str">
        <x:v>短间隔复做</x:v>
      </x:c>
      <x:c r="E62" s="145" t="str">
        <x:v>交错复盘</x:v>
      </x:c>
      <x:c r="F62" s="145" t="n">
        <x:v>5</x:v>
      </x:c>
      <x:c r="G62" s="145" t="n">
        <x:v>5</x:v>
      </x:c>
      <x:c r="H62" s="145" t="n">
        <x:v>543</x:v>
      </x:c>
      <x:c r="I62" s="151" t="str">
        <x:v>二叉树的直径</x:v>
      </x:c>
      <x:c r="J62" s="151" t="str">
        <x:v>Diameter of Binary Tree</x:v>
      </x:c>
      <x:c r="K62" s="145" t="str">
        <x:v>简单</x:v>
      </x:c>
      <x:c r="L62" s="145" t="str">
        <x:v>树与递归</x:v>
      </x:c>
      <x:c r="M62" s="145" t="str">
        <x:v>二叉树</x:v>
      </x:c>
      <x:c r="N62" s="165" t="str">
        <x:v>树形动态规划</x:v>
      </x:c>
      <x:c r="O62" s="165" t="str">
        <x:v>Grind 75核心</x:v>
      </x:c>
      <x:c r="P62" s="171" t="n">
        <x:v>20</x:v>
      </x:c>
      <x:c r="Q62" s="151" t="str">
        <x:v>空白编辑器重写，禁止看旧代码，卡住五分钟后只看最小提示</x:v>
      </x:c>
      <x:c r="R62" s="145" t="str">
        <x:v>未开始</x:v>
      </x:c>
      <x:c r="S62" s="145"/>
      <x:c r="T62" s="177"/>
      <x:c r="U62" s="145"/>
      <x:c r="V62" s="151"/>
      <x:c r="W62" s="112" t="str">
        <x:v>https://leetcode.com/problems/diameter-of-binary-tree/</x:v>
      </x:c>
    </x:row>
    <x:row r="63" ht="34" customHeight="1">
      <x:c r="A63" s="99" t="n">
        <x:v>12</x:v>
      </x:c>
      <x:c r="B63" s="145" t="str">
        <x:v>阶段二 高频中等题主干</x:v>
      </x:c>
      <x:c r="C63" s="145" t="n">
        <x:v>4</x:v>
      </x:c>
      <x:c r="D63" s="145" t="str">
        <x:v>新题</x:v>
      </x:c>
      <x:c r="E63" s="145" t="str">
        <x:v>主练二</x:v>
      </x:c>
      <x:c r="F63" s="145" t="n">
        <x:v>0</x:v>
      </x:c>
      <x:c r="G63" s="145" t="n">
        <x:v>0</x:v>
      </x:c>
      <x:c r="H63" s="145" t="n">
        <x:v>207</x:v>
      </x:c>
      <x:c r="I63" s="151" t="str">
        <x:v>课程表</x:v>
      </x:c>
      <x:c r="J63" s="151" t="str">
        <x:v>Course Schedule</x:v>
      </x:c>
      <x:c r="K63" s="145" t="str">
        <x:v>中等</x:v>
      </x:c>
      <x:c r="L63" s="145" t="str">
        <x:v>图与并查集</x:v>
      </x:c>
      <x:c r="M63" s="145" t="str">
        <x:v>图论</x:v>
      </x:c>
      <x:c r="N63" s="165" t="str">
        <x:v>拓扑排序与环检测</x:v>
      </x:c>
      <x:c r="O63" s="165" t="str">
        <x:v>Grind 75核心</x:v>
      </x:c>
      <x:c r="P63" s="171" t="n">
        <x:v>30</x:v>
      </x:c>
      <x:c r="Q63" s="151" t="str">
        <x:v>盲做并先口述暴力法与优化方向，到时停笔，完成后写复杂度、边界与可追问点</x:v>
      </x:c>
      <x:c r="R63" s="145" t="str">
        <x:v>未开始</x:v>
      </x:c>
      <x:c r="S63" s="145"/>
      <x:c r="T63" s="177"/>
      <x:c r="U63" s="145"/>
      <x:c r="V63" s="151"/>
      <x:c r="W63" s="112" t="str">
        <x:v>https://leetcode.com/problems/course-schedule/</x:v>
      </x:c>
    </x:row>
    <x:row r="64" ht="34" customHeight="1">
      <x:c r="A64" s="99" t="n">
        <x:v>12</x:v>
      </x:c>
      <x:c r="B64" s="145" t="str">
        <x:v>阶段二 高频中等题主干</x:v>
      </x:c>
      <x:c r="C64" s="145" t="n">
        <x:v>5</x:v>
      </x:c>
      <x:c r="D64" s="145" t="str">
        <x:v>短间隔复做</x:v>
      </x:c>
      <x:c r="E64" s="145" t="str">
        <x:v>长间隔复做</x:v>
      </x:c>
      <x:c r="F64" s="145" t="n">
        <x:v>5</x:v>
      </x:c>
      <x:c r="G64" s="145" t="n">
        <x:v>5</x:v>
      </x:c>
      <x:c r="H64" s="145" t="n">
        <x:v>104</x:v>
      </x:c>
      <x:c r="I64" s="151" t="str">
        <x:v>二叉树的最大深度</x:v>
      </x:c>
      <x:c r="J64" s="151" t="str">
        <x:v>Maximum Depth of Binary Tree</x:v>
      </x:c>
      <x:c r="K64" s="145" t="str">
        <x:v>简单</x:v>
      </x:c>
      <x:c r="L64" s="145" t="str">
        <x:v>树与递归</x:v>
      </x:c>
      <x:c r="M64" s="145" t="str">
        <x:v>二叉树</x:v>
      </x:c>
      <x:c r="N64" s="165" t="str">
        <x:v>深搜或层序遍历</x:v>
      </x:c>
      <x:c r="O64" s="165" t="str">
        <x:v>Grind 75核心</x:v>
      </x:c>
      <x:c r="P64" s="171" t="n">
        <x:v>12</x:v>
      </x:c>
      <x:c r="Q64" s="151" t="str">
        <x:v>空白编辑器重写，禁止看旧代码，卡住五分钟后只看最小提示</x:v>
      </x:c>
      <x:c r="R64" s="145" t="str">
        <x:v>未开始</x:v>
      </x:c>
      <x:c r="S64" s="145"/>
      <x:c r="T64" s="177"/>
      <x:c r="U64" s="145"/>
      <x:c r="V64" s="151"/>
      <x:c r="W64" s="112" t="str">
        <x:v>https://leetcode.com/problems/maximum-depth-of-binary-tree/</x:v>
      </x:c>
    </x:row>
    <x:row r="65" ht="34" customHeight="1">
      <x:c r="A65" s="99" t="n">
        <x:v>13</x:v>
      </x:c>
      <x:c r="B65" s="145" t="str">
        <x:v>阶段二 高频中等题主干</x:v>
      </x:c>
      <x:c r="C65" s="145" t="n">
        <x:v>1</x:v>
      </x:c>
      <x:c r="D65" s="145" t="str">
        <x:v>短间隔复做</x:v>
      </x:c>
      <x:c r="E65" s="145" t="str">
        <x:v>主动回忆热身</x:v>
      </x:c>
      <x:c r="F65" s="145" t="n">
        <x:v>4</x:v>
      </x:c>
      <x:c r="G65" s="145" t="n">
        <x:v>4</x:v>
      </x:c>
      <x:c r="H65" s="145" t="n">
        <x:v>542</x:v>
      </x:c>
      <x:c r="I65" s="151" t="str">
        <x:v>01矩阵</x:v>
      </x:c>
      <x:c r="J65" s="151" t="str">
        <x:v>01 Matrix</x:v>
      </x:c>
      <x:c r="K65" s="145" t="str">
        <x:v>中等</x:v>
      </x:c>
      <x:c r="L65" s="145" t="str">
        <x:v>图与并查集</x:v>
      </x:c>
      <x:c r="M65" s="145" t="str">
        <x:v>图论</x:v>
      </x:c>
      <x:c r="N65" s="165" t="str">
        <x:v>多源广搜</x:v>
      </x:c>
      <x:c r="O65" s="165" t="str">
        <x:v>Grind 75核心</x:v>
      </x:c>
      <x:c r="P65" s="171" t="n">
        <x:v>20</x:v>
      </x:c>
      <x:c r="Q65" s="151" t="str">
        <x:v>空白编辑器重写，禁止看旧代码，卡住五分钟后只看最小提示</x:v>
      </x:c>
      <x:c r="R65" s="145" t="str">
        <x:v>未开始</x:v>
      </x:c>
      <x:c r="S65" s="145"/>
      <x:c r="T65" s="177"/>
      <x:c r="U65" s="145"/>
      <x:c r="V65" s="151"/>
      <x:c r="W65" s="112" t="str">
        <x:v>https://leetcode.com/problems/01-matrix/</x:v>
      </x:c>
    </x:row>
    <x:row r="66" ht="34" customHeight="1">
      <x:c r="A66" s="99" t="n">
        <x:v>13</x:v>
      </x:c>
      <x:c r="B66" s="145" t="str">
        <x:v>阶段二 高频中等题主干</x:v>
      </x:c>
      <x:c r="C66" s="145" t="n">
        <x:v>2</x:v>
      </x:c>
      <x:c r="D66" s="145" t="str">
        <x:v>新题</x:v>
      </x:c>
      <x:c r="E66" s="145" t="str">
        <x:v>主练一</x:v>
      </x:c>
      <x:c r="F66" s="145" t="n">
        <x:v>0</x:v>
      </x:c>
      <x:c r="G66" s="145" t="n">
        <x:v>0</x:v>
      </x:c>
      <x:c r="H66" s="145" t="n">
        <x:v>208</x:v>
      </x:c>
      <x:c r="I66" s="151" t="str">
        <x:v>实现Trie前缀树</x:v>
      </x:c>
      <x:c r="J66" s="151" t="str">
        <x:v>Implement Trie Prefix Tree</x:v>
      </x:c>
      <x:c r="K66" s="145" t="str">
        <x:v>中等</x:v>
      </x:c>
      <x:c r="L66" s="145" t="str">
        <x:v>Trie</x:v>
      </x:c>
      <x:c r="M66" s="145" t="str">
        <x:v>Trie</x:v>
      </x:c>
      <x:c r="N66" s="165" t="str">
        <x:v>前缀树设计</x:v>
      </x:c>
      <x:c r="O66" s="165" t="str">
        <x:v>Grind 75核心</x:v>
      </x:c>
      <x:c r="P66" s="171" t="n">
        <x:v>35</x:v>
      </x:c>
      <x:c r="Q66" s="151" t="str">
        <x:v>盲做并先口述暴力法与优化方向，到时停笔，完成后写复杂度、边界与可追问点</x:v>
      </x:c>
      <x:c r="R66" s="145" t="str">
        <x:v>未开始</x:v>
      </x:c>
      <x:c r="S66" s="145"/>
      <x:c r="T66" s="177"/>
      <x:c r="U66" s="145"/>
      <x:c r="V66" s="151"/>
      <x:c r="W66" s="112" t="str">
        <x:v>https://leetcode.com/problems/implement-trie-prefix-tree/</x:v>
      </x:c>
    </x:row>
    <x:row r="67" ht="34" customHeight="1">
      <x:c r="A67" s="99" t="n">
        <x:v>13</x:v>
      </x:c>
      <x:c r="B67" s="145" t="str">
        <x:v>阶段二 高频中等题主干</x:v>
      </x:c>
      <x:c r="C67" s="145" t="n">
        <x:v>3</x:v>
      </x:c>
      <x:c r="D67" s="145" t="str">
        <x:v>短间隔复做</x:v>
      </x:c>
      <x:c r="E67" s="145" t="str">
        <x:v>交错复盘</x:v>
      </x:c>
      <x:c r="F67" s="145" t="n">
        <x:v>4</x:v>
      </x:c>
      <x:c r="G67" s="145" t="n">
        <x:v>4</x:v>
      </x:c>
      <x:c r="H67" s="145" t="n">
        <x:v>973</x:v>
      </x:c>
      <x:c r="I67" s="151" t="str">
        <x:v>最接近原点的K个点</x:v>
      </x:c>
      <x:c r="J67" s="151" t="str">
        <x:v>K Closest Points to Origin</x:v>
      </x:c>
      <x:c r="K67" s="145" t="str">
        <x:v>中等</x:v>
      </x:c>
      <x:c r="L67" s="145" t="str">
        <x:v>堆与优先队列</x:v>
      </x:c>
      <x:c r="M67" s="145" t="str">
        <x:v>堆与优先队列</x:v>
      </x:c>
      <x:c r="N67" s="165" t="str">
        <x:v>Top K与堆</x:v>
      </x:c>
      <x:c r="O67" s="165" t="str">
        <x:v>Grind 75核心</x:v>
      </x:c>
      <x:c r="P67" s="171" t="n">
        <x:v>20</x:v>
      </x:c>
      <x:c r="Q67" s="151" t="str">
        <x:v>空白编辑器重写，禁止看旧代码，卡住五分钟后只看最小提示</x:v>
      </x:c>
      <x:c r="R67" s="145" t="str">
        <x:v>未开始</x:v>
      </x:c>
      <x:c r="S67" s="145"/>
      <x:c r="T67" s="177"/>
      <x:c r="U67" s="145"/>
      <x:c r="V67" s="151"/>
      <x:c r="W67" s="112" t="str">
        <x:v>https://leetcode.com/problems/k-closest-points-to-origin/</x:v>
      </x:c>
    </x:row>
    <x:row r="68" ht="34" customHeight="1">
      <x:c r="A68" s="99" t="n">
        <x:v>13</x:v>
      </x:c>
      <x:c r="B68" s="145" t="str">
        <x:v>阶段二 高频中等题主干</x:v>
      </x:c>
      <x:c r="C68" s="145" t="n">
        <x:v>4</x:v>
      </x:c>
      <x:c r="D68" s="145" t="str">
        <x:v>新题</x:v>
      </x:c>
      <x:c r="E68" s="145" t="str">
        <x:v>主练二</x:v>
      </x:c>
      <x:c r="F68" s="145" t="n">
        <x:v>0</x:v>
      </x:c>
      <x:c r="G68" s="145" t="n">
        <x:v>0</x:v>
      </x:c>
      <x:c r="H68" s="145" t="n">
        <x:v>322</x:v>
      </x:c>
      <x:c r="I68" s="151" t="str">
        <x:v>零钱兑换</x:v>
      </x:c>
      <x:c r="J68" s="151" t="str">
        <x:v>Coin Change</x:v>
      </x:c>
      <x:c r="K68" s="145" t="str">
        <x:v>中等</x:v>
      </x:c>
      <x:c r="L68" s="145" t="str">
        <x:v>动态规划</x:v>
      </x:c>
      <x:c r="M68" s="145" t="str">
        <x:v>动态规划</x:v>
      </x:c>
      <x:c r="N68" s="165" t="str">
        <x:v>完全背包最值</x:v>
      </x:c>
      <x:c r="O68" s="165" t="str">
        <x:v>Grind 75核心</x:v>
      </x:c>
      <x:c r="P68" s="171" t="n">
        <x:v>25</x:v>
      </x:c>
      <x:c r="Q68" s="151" t="str">
        <x:v>盲做并先口述暴力法与优化方向，到时停笔，完成后写复杂度、边界与可追问点</x:v>
      </x:c>
      <x:c r="R68" s="145" t="str">
        <x:v>未开始</x:v>
      </x:c>
      <x:c r="S68" s="145"/>
      <x:c r="T68" s="177"/>
      <x:c r="U68" s="145"/>
      <x:c r="V68" s="151"/>
      <x:c r="W68" s="112" t="str">
        <x:v>https://leetcode.com/problems/coin-change/</x:v>
      </x:c>
    </x:row>
    <x:row r="69" ht="34" customHeight="1">
      <x:c r="A69" s="99" t="n">
        <x:v>13</x:v>
      </x:c>
      <x:c r="B69" s="145" t="str">
        <x:v>阶段二 高频中等题主干</x:v>
      </x:c>
      <x:c r="C69" s="145" t="n">
        <x:v>5</x:v>
      </x:c>
      <x:c r="D69" s="145" t="str">
        <x:v>短间隔复做</x:v>
      </x:c>
      <x:c r="E69" s="145" t="str">
        <x:v>长间隔复做</x:v>
      </x:c>
      <x:c r="F69" s="145" t="n">
        <x:v>3</x:v>
      </x:c>
      <x:c r="G69" s="145" t="n">
        <x:v>3</x:v>
      </x:c>
      <x:c r="H69" s="145" t="n">
        <x:v>3</x:v>
      </x:c>
      <x:c r="I69" s="151" t="str">
        <x:v>无重复字符的最长子串</x:v>
      </x:c>
      <x:c r="J69" s="151" t="str">
        <x:v>Longest Substring Without Repeating Characters</x:v>
      </x:c>
      <x:c r="K69" s="145" t="str">
        <x:v>中等</x:v>
      </x:c>
      <x:c r="L69" s="145" t="str">
        <x:v>滑动窗口与单调队列</x:v>
      </x:c>
      <x:c r="M69" s="145" t="str">
        <x:v>滑动窗口</x:v>
      </x:c>
      <x:c r="N69" s="165" t="str">
        <x:v>可变长度窗口</x:v>
      </x:c>
      <x:c r="O69" s="165" t="str">
        <x:v>Grind 75核心</x:v>
      </x:c>
      <x:c r="P69" s="171" t="n">
        <x:v>20</x:v>
      </x:c>
      <x:c r="Q69" s="151" t="str">
        <x:v>空白编辑器重写，禁止看旧代码，卡住五分钟后只看最小提示</x:v>
      </x:c>
      <x:c r="R69" s="145" t="str">
        <x:v>未开始</x:v>
      </x:c>
      <x:c r="S69" s="145"/>
      <x:c r="T69" s="177"/>
      <x:c r="U69" s="145"/>
      <x:c r="V69" s="151"/>
      <x:c r="W69" s="112" t="str">
        <x:v>https://leetcode.com/problems/longest-substring-without-repeating-characters/</x:v>
      </x:c>
    </x:row>
    <x:row r="70" ht="34" customHeight="1">
      <x:c r="A70" s="99" t="n">
        <x:v>14</x:v>
      </x:c>
      <x:c r="B70" s="145" t="str">
        <x:v>阶段二 高频中等题主干</x:v>
      </x:c>
      <x:c r="C70" s="145" t="n">
        <x:v>1</x:v>
      </x:c>
      <x:c r="D70" s="145" t="str">
        <x:v>短间隔复做</x:v>
      </x:c>
      <x:c r="E70" s="145" t="str">
        <x:v>主动回忆热身</x:v>
      </x:c>
      <x:c r="F70" s="145" t="n">
        <x:v>4</x:v>
      </x:c>
      <x:c r="G70" s="145" t="n">
        <x:v>4</x:v>
      </x:c>
      <x:c r="H70" s="145" t="n">
        <x:v>15</x:v>
      </x:c>
      <x:c r="I70" s="151" t="str">
        <x:v>三数之和</x:v>
      </x:c>
      <x:c r="J70" s="151" t="str">
        <x:v>3Sum</x:v>
      </x:c>
      <x:c r="K70" s="145" t="str">
        <x:v>中等</x:v>
      </x:c>
      <x:c r="L70" s="145" t="str">
        <x:v>双指针</x:v>
      </x:c>
      <x:c r="M70" s="145" t="str">
        <x:v>双指针</x:v>
      </x:c>
      <x:c r="N70" s="165" t="str">
        <x:v>排序与对撞指针</x:v>
      </x:c>
      <x:c r="O70" s="165" t="str">
        <x:v>Grind 75核心</x:v>
      </x:c>
      <x:c r="P70" s="171" t="n">
        <x:v>20</x:v>
      </x:c>
      <x:c r="Q70" s="151" t="str">
        <x:v>空白编辑器重写，禁止看旧代码，卡住五分钟后只看最小提示</x:v>
      </x:c>
      <x:c r="R70" s="145" t="str">
        <x:v>未开始</x:v>
      </x:c>
      <x:c r="S70" s="145"/>
      <x:c r="T70" s="177"/>
      <x:c r="U70" s="145"/>
      <x:c r="V70" s="151"/>
      <x:c r="W70" s="112" t="str">
        <x:v>https://leetcode.com/problems/3sum/</x:v>
      </x:c>
    </x:row>
    <x:row r="71" ht="34" customHeight="1">
      <x:c r="A71" s="99" t="n">
        <x:v>14</x:v>
      </x:c>
      <x:c r="B71" s="145" t="str">
        <x:v>阶段二 高频中等题主干</x:v>
      </x:c>
      <x:c r="C71" s="145" t="n">
        <x:v>2</x:v>
      </x:c>
      <x:c r="D71" s="145" t="str">
        <x:v>新题</x:v>
      </x:c>
      <x:c r="E71" s="145" t="str">
        <x:v>主练一</x:v>
      </x:c>
      <x:c r="F71" s="145" t="n">
        <x:v>0</x:v>
      </x:c>
      <x:c r="G71" s="145" t="n">
        <x:v>0</x:v>
      </x:c>
      <x:c r="H71" s="145" t="n">
        <x:v>238</x:v>
      </x:c>
      <x:c r="I71" s="151" t="str">
        <x:v>除自身以外数组的乘积</x:v>
      </x:c>
      <x:c r="J71" s="151" t="str">
        <x:v>Product of Array Except Self</x:v>
      </x:c>
      <x:c r="K71" s="145" t="str">
        <x:v>中等</x:v>
      </x:c>
      <x:c r="L71" s="145" t="str">
        <x:v>数组与哈希</x:v>
      </x:c>
      <x:c r="M71" s="145" t="str">
        <x:v>数组与前缀</x:v>
      </x:c>
      <x:c r="N71" s="165" t="str">
        <x:v>前缀积与后缀积</x:v>
      </x:c>
      <x:c r="O71" s="165" t="str">
        <x:v>Grind 75核心</x:v>
      </x:c>
      <x:c r="P71" s="171" t="n">
        <x:v>30</x:v>
      </x:c>
      <x:c r="Q71" s="151" t="str">
        <x:v>盲做并先口述暴力法与优化方向，到时停笔，完成后写复杂度、边界与可追问点</x:v>
      </x:c>
      <x:c r="R71" s="145" t="str">
        <x:v>未开始</x:v>
      </x:c>
      <x:c r="S71" s="145"/>
      <x:c r="T71" s="177"/>
      <x:c r="U71" s="145"/>
      <x:c r="V71" s="151"/>
      <x:c r="W71" s="112" t="str">
        <x:v>https://leetcode.com/problems/product-of-array-except-self/</x:v>
      </x:c>
    </x:row>
    <x:row r="72" ht="34" customHeight="1">
      <x:c r="A72" s="99" t="n">
        <x:v>14</x:v>
      </x:c>
      <x:c r="B72" s="145" t="str">
        <x:v>阶段二 高频中等题主干</x:v>
      </x:c>
      <x:c r="C72" s="145" t="n">
        <x:v>3</x:v>
      </x:c>
      <x:c r="D72" s="145" t="str">
        <x:v>短间隔复做</x:v>
      </x:c>
      <x:c r="E72" s="145" t="str">
        <x:v>交错复盘</x:v>
      </x:c>
      <x:c r="F72" s="145" t="n">
        <x:v>3</x:v>
      </x:c>
      <x:c r="G72" s="145" t="n">
        <x:v>3</x:v>
      </x:c>
      <x:c r="H72" s="145" t="n">
        <x:v>102</x:v>
      </x:c>
      <x:c r="I72" s="151" t="str">
        <x:v>二叉树的层序遍历</x:v>
      </x:c>
      <x:c r="J72" s="151" t="str">
        <x:v>Binary Tree Level Order Traversal</x:v>
      </x:c>
      <x:c r="K72" s="145" t="str">
        <x:v>中等</x:v>
      </x:c>
      <x:c r="L72" s="145" t="str">
        <x:v>树与递归</x:v>
      </x:c>
      <x:c r="M72" s="145" t="str">
        <x:v>二叉树</x:v>
      </x:c>
      <x:c r="N72" s="165" t="str">
        <x:v>广搜分层</x:v>
      </x:c>
      <x:c r="O72" s="165" t="str">
        <x:v>Grind 75核心</x:v>
      </x:c>
      <x:c r="P72" s="171" t="n">
        <x:v>13</x:v>
      </x:c>
      <x:c r="Q72" s="151" t="str">
        <x:v>空白编辑器重写，禁止看旧代码，卡住五分钟后只看最小提示</x:v>
      </x:c>
      <x:c r="R72" s="145" t="str">
        <x:v>未开始</x:v>
      </x:c>
      <x:c r="S72" s="145"/>
      <x:c r="T72" s="177"/>
      <x:c r="U72" s="145"/>
      <x:c r="V72" s="151"/>
      <x:c r="W72" s="112" t="str">
        <x:v>https://leetcode.com/problems/binary-tree-level-order-traversal/</x:v>
      </x:c>
    </x:row>
    <x:row r="73" ht="34" customHeight="1">
      <x:c r="A73" s="99" t="n">
        <x:v>14</x:v>
      </x:c>
      <x:c r="B73" s="145" t="str">
        <x:v>阶段二 高频中等题主干</x:v>
      </x:c>
      <x:c r="C73" s="145" t="n">
        <x:v>4</x:v>
      </x:c>
      <x:c r="D73" s="145" t="str">
        <x:v>新题</x:v>
      </x:c>
      <x:c r="E73" s="145" t="str">
        <x:v>主练二</x:v>
      </x:c>
      <x:c r="F73" s="145" t="n">
        <x:v>0</x:v>
      </x:c>
      <x:c r="G73" s="145" t="n">
        <x:v>0</x:v>
      </x:c>
      <x:c r="H73" s="145" t="n">
        <x:v>155</x:v>
      </x:c>
      <x:c r="I73" s="151" t="str">
        <x:v>最小栈</x:v>
      </x:c>
      <x:c r="J73" s="151" t="str">
        <x:v>Min Stack</x:v>
      </x:c>
      <x:c r="K73" s="145" t="str">
        <x:v>中等</x:v>
      </x:c>
      <x:c r="L73" s="145" t="str">
        <x:v>栈与队列</x:v>
      </x:c>
      <x:c r="M73" s="145" t="str">
        <x:v>栈与队列</x:v>
      </x:c>
      <x:c r="N73" s="165" t="str">
        <x:v>辅助栈维护最值</x:v>
      </x:c>
      <x:c r="O73" s="165" t="str">
        <x:v>Grind 75核心</x:v>
      </x:c>
      <x:c r="P73" s="171" t="n">
        <x:v>20</x:v>
      </x:c>
      <x:c r="Q73" s="151" t="str">
        <x:v>盲做并先口述暴力法与优化方向，到时停笔，完成后写复杂度、边界与可追问点</x:v>
      </x:c>
      <x:c r="R73" s="145" t="str">
        <x:v>未开始</x:v>
      </x:c>
      <x:c r="S73" s="145"/>
      <x:c r="T73" s="177"/>
      <x:c r="U73" s="145"/>
      <x:c r="V73" s="151"/>
      <x:c r="W73" s="112" t="str">
        <x:v>https://leetcode.com/problems/min-stack/</x:v>
      </x:c>
    </x:row>
    <x:row r="74" ht="34" customHeight="1">
      <x:c r="A74" s="99" t="n">
        <x:v>14</x:v>
      </x:c>
      <x:c r="B74" s="145" t="str">
        <x:v>阶段二 高频中等题主干</x:v>
      </x:c>
      <x:c r="C74" s="145" t="n">
        <x:v>5</x:v>
      </x:c>
      <x:c r="D74" s="145" t="str">
        <x:v>短间隔复做</x:v>
      </x:c>
      <x:c r="E74" s="145" t="str">
        <x:v>长间隔复做</x:v>
      </x:c>
      <x:c r="F74" s="145" t="n">
        <x:v>3</x:v>
      </x:c>
      <x:c r="G74" s="145" t="n">
        <x:v>3</x:v>
      </x:c>
      <x:c r="H74" s="145" t="n">
        <x:v>133</x:v>
      </x:c>
      <x:c r="I74" s="151" t="str">
        <x:v>克隆图</x:v>
      </x:c>
      <x:c r="J74" s="151" t="str">
        <x:v>Clone Graph</x:v>
      </x:c>
      <x:c r="K74" s="145" t="str">
        <x:v>中等</x:v>
      </x:c>
      <x:c r="L74" s="145" t="str">
        <x:v>图与并查集</x:v>
      </x:c>
      <x:c r="M74" s="145" t="str">
        <x:v>图论</x:v>
      </x:c>
      <x:c r="N74" s="165" t="str">
        <x:v>图遍历与映射</x:v>
      </x:c>
      <x:c r="O74" s="165" t="str">
        <x:v>Grind 75核心</x:v>
      </x:c>
      <x:c r="P74" s="171" t="n">
        <x:v>16</x:v>
      </x:c>
      <x:c r="Q74" s="151" t="str">
        <x:v>空白编辑器重写，禁止看旧代码，卡住五分钟后只看最小提示</x:v>
      </x:c>
      <x:c r="R74" s="145" t="str">
        <x:v>未开始</x:v>
      </x:c>
      <x:c r="S74" s="145"/>
      <x:c r="T74" s="177"/>
      <x:c r="U74" s="145"/>
      <x:c r="V74" s="151"/>
      <x:c r="W74" s="112" t="str">
        <x:v>https://leetcode.com/problems/clone-graph/</x:v>
      </x:c>
    </x:row>
    <x:row r="75" ht="34" customHeight="1">
      <x:c r="A75" s="99" t="n">
        <x:v>15</x:v>
      </x:c>
      <x:c r="B75" s="145" t="str">
        <x:v>阶段二 高频中等题主干</x:v>
      </x:c>
      <x:c r="C75" s="145" t="n">
        <x:v>1</x:v>
      </x:c>
      <x:c r="D75" s="145" t="str">
        <x:v>短间隔复做</x:v>
      </x:c>
      <x:c r="E75" s="145" t="str">
        <x:v>主动回忆热身</x:v>
      </x:c>
      <x:c r="F75" s="145" t="n">
        <x:v>3</x:v>
      </x:c>
      <x:c r="G75" s="145" t="n">
        <x:v>3</x:v>
      </x:c>
      <x:c r="H75" s="145" t="n">
        <x:v>150</x:v>
      </x:c>
      <x:c r="I75" s="151" t="str">
        <x:v>逆波兰表达式求值</x:v>
      </x:c>
      <x:c r="J75" s="151" t="str">
        <x:v>Evaluate Reverse Polish Notation</x:v>
      </x:c>
      <x:c r="K75" s="145" t="str">
        <x:v>中等</x:v>
      </x:c>
      <x:c r="L75" s="145" t="str">
        <x:v>栈与队列</x:v>
      </x:c>
      <x:c r="M75" s="145" t="str">
        <x:v>栈与队列</x:v>
      </x:c>
      <x:c r="N75" s="165" t="str">
        <x:v>栈处理表达式</x:v>
      </x:c>
      <x:c r="O75" s="165" t="str">
        <x:v>Grind 75核心</x:v>
      </x:c>
      <x:c r="P75" s="171" t="n">
        <x:v>20</x:v>
      </x:c>
      <x:c r="Q75" s="151" t="str">
        <x:v>空白编辑器重写，禁止看旧代码，卡住五分钟后只看最小提示</x:v>
      </x:c>
      <x:c r="R75" s="145" t="str">
        <x:v>未开始</x:v>
      </x:c>
      <x:c r="S75" s="145"/>
      <x:c r="T75" s="177"/>
      <x:c r="U75" s="145"/>
      <x:c r="V75" s="151"/>
      <x:c r="W75" s="112" t="str">
        <x:v>https://leetcode.com/problems/evaluate-reverse-polish-notation/</x:v>
      </x:c>
    </x:row>
    <x:row r="76" ht="34" customHeight="1">
      <x:c r="A76" s="99" t="n">
        <x:v>15</x:v>
      </x:c>
      <x:c r="B76" s="145" t="str">
        <x:v>阶段二 高频中等题主干</x:v>
      </x:c>
      <x:c r="C76" s="145" t="n">
        <x:v>2</x:v>
      </x:c>
      <x:c r="D76" s="145" t="str">
        <x:v>新题</x:v>
      </x:c>
      <x:c r="E76" s="145" t="str">
        <x:v>主练一</x:v>
      </x:c>
      <x:c r="F76" s="145" t="n">
        <x:v>0</x:v>
      </x:c>
      <x:c r="G76" s="145" t="n">
        <x:v>0</x:v>
      </x:c>
      <x:c r="H76" s="145" t="n">
        <x:v>98</x:v>
      </x:c>
      <x:c r="I76" s="151" t="str">
        <x:v>验证二叉搜索树</x:v>
      </x:c>
      <x:c r="J76" s="151" t="str">
        <x:v>Validate Binary Search Tree</x:v>
      </x:c>
      <x:c r="K76" s="145" t="str">
        <x:v>中等</x:v>
      </x:c>
      <x:c r="L76" s="145" t="str">
        <x:v>树与递归</x:v>
      </x:c>
      <x:c r="M76" s="145" t="str">
        <x:v>二叉搜索树</x:v>
      </x:c>
      <x:c r="N76" s="165" t="str">
        <x:v>中序有序或上下界</x:v>
      </x:c>
      <x:c r="O76" s="165" t="str">
        <x:v>Grind 75核心</x:v>
      </x:c>
      <x:c r="P76" s="171" t="n">
        <x:v>20</x:v>
      </x:c>
      <x:c r="Q76" s="151" t="str">
        <x:v>盲做并先口述暴力法与优化方向，到时停笔，完成后写复杂度、边界与可追问点</x:v>
      </x:c>
      <x:c r="R76" s="145" t="str">
        <x:v>未开始</x:v>
      </x:c>
      <x:c r="S76" s="145"/>
      <x:c r="T76" s="177"/>
      <x:c r="U76" s="145"/>
      <x:c r="V76" s="151"/>
      <x:c r="W76" s="112" t="str">
        <x:v>https://leetcode.com/problems/validate-binary-search-tree/</x:v>
      </x:c>
    </x:row>
    <x:row r="77" ht="34" customHeight="1">
      <x:c r="A77" s="99" t="n">
        <x:v>15</x:v>
      </x:c>
      <x:c r="B77" s="145" t="str">
        <x:v>阶段二 高频中等题主干</x:v>
      </x:c>
      <x:c r="C77" s="145" t="n">
        <x:v>3</x:v>
      </x:c>
      <x:c r="D77" s="145" t="str">
        <x:v>短间隔复做</x:v>
      </x:c>
      <x:c r="E77" s="145" t="str">
        <x:v>交错复盘</x:v>
      </x:c>
      <x:c r="F77" s="145" t="n">
        <x:v>2</x:v>
      </x:c>
      <x:c r="G77" s="145" t="n">
        <x:v>2</x:v>
      </x:c>
      <x:c r="H77" s="145" t="n">
        <x:v>208</x:v>
      </x:c>
      <x:c r="I77" s="151" t="str">
        <x:v>实现Trie前缀树</x:v>
      </x:c>
      <x:c r="J77" s="151" t="str">
        <x:v>Implement Trie Prefix Tree</x:v>
      </x:c>
      <x:c r="K77" s="145" t="str">
        <x:v>中等</x:v>
      </x:c>
      <x:c r="L77" s="145" t="str">
        <x:v>Trie</x:v>
      </x:c>
      <x:c r="M77" s="145" t="str">
        <x:v>Trie</x:v>
      </x:c>
      <x:c r="N77" s="165" t="str">
        <x:v>前缀树设计</x:v>
      </x:c>
      <x:c r="O77" s="165" t="str">
        <x:v>Grind 75核心</x:v>
      </x:c>
      <x:c r="P77" s="171" t="n">
        <x:v>23</x:v>
      </x:c>
      <x:c r="Q77" s="151" t="str">
        <x:v>空白编辑器重写，禁止看旧代码，卡住五分钟后只看最小提示</x:v>
      </x:c>
      <x:c r="R77" s="145" t="str">
        <x:v>未开始</x:v>
      </x:c>
      <x:c r="S77" s="145"/>
      <x:c r="T77" s="177"/>
      <x:c r="U77" s="145"/>
      <x:c r="V77" s="151"/>
      <x:c r="W77" s="112" t="str">
        <x:v>https://leetcode.com/problems/implement-trie-prefix-tree/</x:v>
      </x:c>
    </x:row>
    <x:row r="78" ht="34" customHeight="1">
      <x:c r="A78" s="99" t="n">
        <x:v>15</x:v>
      </x:c>
      <x:c r="B78" s="145" t="str">
        <x:v>阶段二 高频中等题主干</x:v>
      </x:c>
      <x:c r="C78" s="145" t="n">
        <x:v>4</x:v>
      </x:c>
      <x:c r="D78" s="145" t="str">
        <x:v>新题</x:v>
      </x:c>
      <x:c r="E78" s="145" t="str">
        <x:v>主练二</x:v>
      </x:c>
      <x:c r="F78" s="145" t="n">
        <x:v>0</x:v>
      </x:c>
      <x:c r="G78" s="145" t="n">
        <x:v>0</x:v>
      </x:c>
      <x:c r="H78" s="145" t="n">
        <x:v>200</x:v>
      </x:c>
      <x:c r="I78" s="151" t="str">
        <x:v>岛屿数量</x:v>
      </x:c>
      <x:c r="J78" s="151" t="str">
        <x:v>Number of Islands</x:v>
      </x:c>
      <x:c r="K78" s="145" t="str">
        <x:v>中等</x:v>
      </x:c>
      <x:c r="L78" s="145" t="str">
        <x:v>图与并查集</x:v>
      </x:c>
      <x:c r="M78" s="145" t="str">
        <x:v>图论</x:v>
      </x:c>
      <x:c r="N78" s="165" t="str">
        <x:v>网格连通分量</x:v>
      </x:c>
      <x:c r="O78" s="165" t="str">
        <x:v>Grind 75核心</x:v>
      </x:c>
      <x:c r="P78" s="171" t="n">
        <x:v>25</x:v>
      </x:c>
      <x:c r="Q78" s="151" t="str">
        <x:v>盲做并先口述暴力法与优化方向，到时停笔，完成后写复杂度、边界与可追问点</x:v>
      </x:c>
      <x:c r="R78" s="145" t="str">
        <x:v>未开始</x:v>
      </x:c>
      <x:c r="S78" s="145"/>
      <x:c r="T78" s="177"/>
      <x:c r="U78" s="145"/>
      <x:c r="V78" s="151"/>
      <x:c r="W78" s="112" t="str">
        <x:v>https://leetcode.com/problems/number-of-islands/</x:v>
      </x:c>
    </x:row>
    <x:row r="79" ht="34" customHeight="1">
      <x:c r="A79" s="99" t="n">
        <x:v>15</x:v>
      </x:c>
      <x:c r="B79" s="145" t="str">
        <x:v>阶段二 高频中等题主干</x:v>
      </x:c>
      <x:c r="C79" s="145" t="n">
        <x:v>5</x:v>
      </x:c>
      <x:c r="D79" s="145" t="str">
        <x:v>短间隔复做</x:v>
      </x:c>
      <x:c r="E79" s="145" t="str">
        <x:v>长间隔复做</x:v>
      </x:c>
      <x:c r="F79" s="145" t="n">
        <x:v>2</x:v>
      </x:c>
      <x:c r="G79" s="145" t="n">
        <x:v>2</x:v>
      </x:c>
      <x:c r="H79" s="145" t="n">
        <x:v>322</x:v>
      </x:c>
      <x:c r="I79" s="151" t="str">
        <x:v>零钱兑换</x:v>
      </x:c>
      <x:c r="J79" s="151" t="str">
        <x:v>Coin Change</x:v>
      </x:c>
      <x:c r="K79" s="145" t="str">
        <x:v>中等</x:v>
      </x:c>
      <x:c r="L79" s="145" t="str">
        <x:v>动态规划</x:v>
      </x:c>
      <x:c r="M79" s="145" t="str">
        <x:v>动态规划</x:v>
      </x:c>
      <x:c r="N79" s="165" t="str">
        <x:v>完全背包最值</x:v>
      </x:c>
      <x:c r="O79" s="165" t="str">
        <x:v>Grind 75核心</x:v>
      </x:c>
      <x:c r="P79" s="171" t="n">
        <x:v>16</x:v>
      </x:c>
      <x:c r="Q79" s="151" t="str">
        <x:v>空白编辑器重写，禁止看旧代码，卡住五分钟后只看最小提示</x:v>
      </x:c>
      <x:c r="R79" s="145" t="str">
        <x:v>未开始</x:v>
      </x:c>
      <x:c r="S79" s="145"/>
      <x:c r="T79" s="177"/>
      <x:c r="U79" s="145"/>
      <x:c r="V79" s="151"/>
      <x:c r="W79" s="112" t="str">
        <x:v>https://leetcode.com/problems/coin-change/</x:v>
      </x:c>
    </x:row>
    <x:row r="80" ht="34" customHeight="1">
      <x:c r="A80" s="99" t="n">
        <x:v>16</x:v>
      </x:c>
      <x:c r="B80" s="145" t="str">
        <x:v>阶段二 高频中等题主干</x:v>
      </x:c>
      <x:c r="C80" s="145" t="n">
        <x:v>1</x:v>
      </x:c>
      <x:c r="D80" s="145" t="str">
        <x:v>短间隔复做</x:v>
      </x:c>
      <x:c r="E80" s="145" t="str">
        <x:v>主动回忆热身</x:v>
      </x:c>
      <x:c r="F80" s="145" t="n">
        <x:v>4</x:v>
      </x:c>
      <x:c r="G80" s="145" t="n">
        <x:v>4</x:v>
      </x:c>
      <x:c r="H80" s="145" t="n">
        <x:v>207</x:v>
      </x:c>
      <x:c r="I80" s="151" t="str">
        <x:v>课程表</x:v>
      </x:c>
      <x:c r="J80" s="151" t="str">
        <x:v>Course Schedule</x:v>
      </x:c>
      <x:c r="K80" s="145" t="str">
        <x:v>中等</x:v>
      </x:c>
      <x:c r="L80" s="145" t="str">
        <x:v>图与并查集</x:v>
      </x:c>
      <x:c r="M80" s="145" t="str">
        <x:v>图论</x:v>
      </x:c>
      <x:c r="N80" s="165" t="str">
        <x:v>拓扑排序与环检测</x:v>
      </x:c>
      <x:c r="O80" s="165" t="str">
        <x:v>Grind 75核心</x:v>
      </x:c>
      <x:c r="P80" s="171" t="n">
        <x:v>20</x:v>
      </x:c>
      <x:c r="Q80" s="151" t="str">
        <x:v>空白编辑器重写，禁止看旧代码，卡住五分钟后只看最小提示</x:v>
      </x:c>
      <x:c r="R80" s="145" t="str">
        <x:v>未开始</x:v>
      </x:c>
      <x:c r="S80" s="145"/>
      <x:c r="T80" s="177"/>
      <x:c r="U80" s="145"/>
      <x:c r="V80" s="151"/>
      <x:c r="W80" s="112" t="str">
        <x:v>https://leetcode.com/problems/course-schedule/</x:v>
      </x:c>
    </x:row>
    <x:row r="81" ht="34" customHeight="1">
      <x:c r="A81" s="99" t="n">
        <x:v>16</x:v>
      </x:c>
      <x:c r="B81" s="145" t="str">
        <x:v>阶段二 高频中等题主干</x:v>
      </x:c>
      <x:c r="C81" s="145" t="n">
        <x:v>2</x:v>
      </x:c>
      <x:c r="D81" s="145" t="str">
        <x:v>新题</x:v>
      </x:c>
      <x:c r="E81" s="145" t="str">
        <x:v>主练一</x:v>
      </x:c>
      <x:c r="F81" s="145" t="n">
        <x:v>0</x:v>
      </x:c>
      <x:c r="G81" s="145" t="n">
        <x:v>0</x:v>
      </x:c>
      <x:c r="H81" s="145" t="n">
        <x:v>994</x:v>
      </x:c>
      <x:c r="I81" s="151" t="str">
        <x:v>腐烂的橘子</x:v>
      </x:c>
      <x:c r="J81" s="151" t="str">
        <x:v>Rotting Oranges</x:v>
      </x:c>
      <x:c r="K81" s="145" t="str">
        <x:v>中等</x:v>
      </x:c>
      <x:c r="L81" s="145" t="str">
        <x:v>图与并查集</x:v>
      </x:c>
      <x:c r="M81" s="145" t="str">
        <x:v>图论</x:v>
      </x:c>
      <x:c r="N81" s="165" t="str">
        <x:v>多源广搜分层</x:v>
      </x:c>
      <x:c r="O81" s="165" t="str">
        <x:v>Grind 75核心</x:v>
      </x:c>
      <x:c r="P81" s="171" t="n">
        <x:v>30</x:v>
      </x:c>
      <x:c r="Q81" s="151" t="str">
        <x:v>盲做并先口述暴力法与优化方向，到时停笔，完成后写复杂度、边界与可追问点</x:v>
      </x:c>
      <x:c r="R81" s="145" t="str">
        <x:v>未开始</x:v>
      </x:c>
      <x:c r="S81" s="145"/>
      <x:c r="T81" s="177"/>
      <x:c r="U81" s="145"/>
      <x:c r="V81" s="151"/>
      <x:c r="W81" s="112" t="str">
        <x:v>https://leetcode.com/problems/rotting-oranges/</x:v>
      </x:c>
    </x:row>
    <x:row r="82" ht="34" customHeight="1">
      <x:c r="A82" s="99" t="n">
        <x:v>16</x:v>
      </x:c>
      <x:c r="B82" s="145" t="str">
        <x:v>阶段二 高频中等题主干</x:v>
      </x:c>
      <x:c r="C82" s="145" t="n">
        <x:v>3</x:v>
      </x:c>
      <x:c r="D82" s="145" t="str">
        <x:v>短间隔复做</x:v>
      </x:c>
      <x:c r="E82" s="145" t="str">
        <x:v>交错复盘</x:v>
      </x:c>
      <x:c r="F82" s="145" t="n">
        <x:v>2</x:v>
      </x:c>
      <x:c r="G82" s="145" t="n">
        <x:v>2</x:v>
      </x:c>
      <x:c r="H82" s="145" t="n">
        <x:v>238</x:v>
      </x:c>
      <x:c r="I82" s="151" t="str">
        <x:v>除自身以外数组的乘积</x:v>
      </x:c>
      <x:c r="J82" s="151" t="str">
        <x:v>Product of Array Except Self</x:v>
      </x:c>
      <x:c r="K82" s="145" t="str">
        <x:v>中等</x:v>
      </x:c>
      <x:c r="L82" s="145" t="str">
        <x:v>数组与哈希</x:v>
      </x:c>
      <x:c r="M82" s="145" t="str">
        <x:v>数组与前缀</x:v>
      </x:c>
      <x:c r="N82" s="165" t="str">
        <x:v>前缀积与后缀积</x:v>
      </x:c>
      <x:c r="O82" s="165" t="str">
        <x:v>Grind 75核心</x:v>
      </x:c>
      <x:c r="P82" s="171" t="n">
        <x:v>20</x:v>
      </x:c>
      <x:c r="Q82" s="151" t="str">
        <x:v>空白编辑器重写，禁止看旧代码，卡住五分钟后只看最小提示</x:v>
      </x:c>
      <x:c r="R82" s="145" t="str">
        <x:v>未开始</x:v>
      </x:c>
      <x:c r="S82" s="145"/>
      <x:c r="T82" s="177"/>
      <x:c r="U82" s="145"/>
      <x:c r="V82" s="151"/>
      <x:c r="W82" s="112" t="str">
        <x:v>https://leetcode.com/problems/product-of-array-except-self/</x:v>
      </x:c>
    </x:row>
    <x:row r="83" ht="34" customHeight="1">
      <x:c r="A83" s="99" t="n">
        <x:v>16</x:v>
      </x:c>
      <x:c r="B83" s="145" t="str">
        <x:v>阶段二 高频中等题主干</x:v>
      </x:c>
      <x:c r="C83" s="145" t="n">
        <x:v>4</x:v>
      </x:c>
      <x:c r="D83" s="145" t="str">
        <x:v>新题</x:v>
      </x:c>
      <x:c r="E83" s="145" t="str">
        <x:v>主练二</x:v>
      </x:c>
      <x:c r="F83" s="145" t="n">
        <x:v>0</x:v>
      </x:c>
      <x:c r="G83" s="145" t="n">
        <x:v>0</x:v>
      </x:c>
      <x:c r="H83" s="145" t="n">
        <x:v>33</x:v>
      </x:c>
      <x:c r="I83" s="151" t="str">
        <x:v>搜索旋转排序数组</x:v>
      </x:c>
      <x:c r="J83" s="151" t="str">
        <x:v>Search in Rotated Sorted Array</x:v>
      </x:c>
      <x:c r="K83" s="145" t="str">
        <x:v>中等</x:v>
      </x:c>
      <x:c r="L83" s="145" t="str">
        <x:v>二分查找</x:v>
      </x:c>
      <x:c r="M83" s="145" t="str">
        <x:v>二分查找</x:v>
      </x:c>
      <x:c r="N83" s="165" t="str">
        <x:v>有序半区判断</x:v>
      </x:c>
      <x:c r="O83" s="165" t="str">
        <x:v>Grind 75核心</x:v>
      </x:c>
      <x:c r="P83" s="171" t="n">
        <x:v>30</x:v>
      </x:c>
      <x:c r="Q83" s="151" t="str">
        <x:v>盲做并先口述暴力法与优化方向，到时停笔，完成后写复杂度、边界与可追问点</x:v>
      </x:c>
      <x:c r="R83" s="145" t="str">
        <x:v>未开始</x:v>
      </x:c>
      <x:c r="S83" s="145"/>
      <x:c r="T83" s="177"/>
      <x:c r="U83" s="145"/>
      <x:c r="V83" s="151"/>
      <x:c r="W83" s="112" t="str">
        <x:v>https://leetcode.com/problems/search-in-rotated-sorted-array/</x:v>
      </x:c>
    </x:row>
    <x:row r="84" ht="34" customHeight="1">
      <x:c r="A84" s="99" t="n">
        <x:v>16</x:v>
      </x:c>
      <x:c r="B84" s="145" t="str">
        <x:v>阶段二 高频中等题主干</x:v>
      </x:c>
      <x:c r="C84" s="145" t="n">
        <x:v>5</x:v>
      </x:c>
      <x:c r="D84" s="145" t="str">
        <x:v>短间隔复做</x:v>
      </x:c>
      <x:c r="E84" s="145" t="str">
        <x:v>长间隔复做</x:v>
      </x:c>
      <x:c r="F84" s="145" t="n">
        <x:v>2</x:v>
      </x:c>
      <x:c r="G84" s="145" t="n">
        <x:v>2</x:v>
      </x:c>
      <x:c r="H84" s="145" t="n">
        <x:v>155</x:v>
      </x:c>
      <x:c r="I84" s="151" t="str">
        <x:v>最小栈</x:v>
      </x:c>
      <x:c r="J84" s="151" t="str">
        <x:v>Min Stack</x:v>
      </x:c>
      <x:c r="K84" s="145" t="str">
        <x:v>中等</x:v>
      </x:c>
      <x:c r="L84" s="145" t="str">
        <x:v>栈与队列</x:v>
      </x:c>
      <x:c r="M84" s="145" t="str">
        <x:v>栈与队列</x:v>
      </x:c>
      <x:c r="N84" s="165" t="str">
        <x:v>辅助栈维护最值</x:v>
      </x:c>
      <x:c r="O84" s="165" t="str">
        <x:v>Grind 75核心</x:v>
      </x:c>
      <x:c r="P84" s="171" t="n">
        <x:v>13</x:v>
      </x:c>
      <x:c r="Q84" s="151" t="str">
        <x:v>空白编辑器重写，禁止看旧代码，卡住五分钟后只看最小提示</x:v>
      </x:c>
      <x:c r="R84" s="145" t="str">
        <x:v>未开始</x:v>
      </x:c>
      <x:c r="S84" s="145"/>
      <x:c r="T84" s="177"/>
      <x:c r="U84" s="145"/>
      <x:c r="V84" s="151"/>
      <x:c r="W84" s="112" t="str">
        <x:v>https://leetcode.com/problems/min-stack/</x:v>
      </x:c>
    </x:row>
    <x:row r="85" ht="34" customHeight="1">
      <x:c r="A85" s="99" t="n">
        <x:v>17</x:v>
      </x:c>
      <x:c r="B85" s="145" t="str">
        <x:v>阶段二 高频中等题主干</x:v>
      </x:c>
      <x:c r="C85" s="145" t="n">
        <x:v>1</x:v>
      </x:c>
      <x:c r="D85" s="145" t="str">
        <x:v>短间隔复做</x:v>
      </x:c>
      <x:c r="E85" s="145" t="str">
        <x:v>主动回忆热身</x:v>
      </x:c>
      <x:c r="F85" s="145" t="n">
        <x:v>2</x:v>
      </x:c>
      <x:c r="G85" s="145" t="n">
        <x:v>2</x:v>
      </x:c>
      <x:c r="H85" s="145" t="n">
        <x:v>98</x:v>
      </x:c>
      <x:c r="I85" s="151" t="str">
        <x:v>验证二叉搜索树</x:v>
      </x:c>
      <x:c r="J85" s="151" t="str">
        <x:v>Validate Binary Search Tree</x:v>
      </x:c>
      <x:c r="K85" s="145" t="str">
        <x:v>中等</x:v>
      </x:c>
      <x:c r="L85" s="145" t="str">
        <x:v>树与递归</x:v>
      </x:c>
      <x:c r="M85" s="145" t="str">
        <x:v>二叉搜索树</x:v>
      </x:c>
      <x:c r="N85" s="165" t="str">
        <x:v>中序有序或上下界</x:v>
      </x:c>
      <x:c r="O85" s="165" t="str">
        <x:v>Grind 75核心</x:v>
      </x:c>
      <x:c r="P85" s="171" t="n">
        <x:v>13</x:v>
      </x:c>
      <x:c r="Q85" s="151" t="str">
        <x:v>空白编辑器重写，禁止看旧代码，卡住五分钟后只看最小提示</x:v>
      </x:c>
      <x:c r="R85" s="145" t="str">
        <x:v>未开始</x:v>
      </x:c>
      <x:c r="S85" s="145"/>
      <x:c r="T85" s="177"/>
      <x:c r="U85" s="145"/>
      <x:c r="V85" s="151"/>
      <x:c r="W85" s="112" t="str">
        <x:v>https://leetcode.com/problems/validate-binary-search-tree/</x:v>
      </x:c>
    </x:row>
    <x:row r="86" ht="34" customHeight="1">
      <x:c r="A86" s="99" t="n">
        <x:v>17</x:v>
      </x:c>
      <x:c r="B86" s="145" t="str">
        <x:v>阶段二 高频中等题主干</x:v>
      </x:c>
      <x:c r="C86" s="145" t="n">
        <x:v>2</x:v>
      </x:c>
      <x:c r="D86" s="145" t="str">
        <x:v>新题</x:v>
      </x:c>
      <x:c r="E86" s="145" t="str">
        <x:v>主练一</x:v>
      </x:c>
      <x:c r="F86" s="145" t="n">
        <x:v>0</x:v>
      </x:c>
      <x:c r="G86" s="145" t="n">
        <x:v>0</x:v>
      </x:c>
      <x:c r="H86" s="145" t="n">
        <x:v>39</x:v>
      </x:c>
      <x:c r="I86" s="151" t="str">
        <x:v>组合总和</x:v>
      </x:c>
      <x:c r="J86" s="151" t="str">
        <x:v>Combination Sum</x:v>
      </x:c>
      <x:c r="K86" s="145" t="str">
        <x:v>中等</x:v>
      </x:c>
      <x:c r="L86" s="145" t="str">
        <x:v>回溯</x:v>
      </x:c>
      <x:c r="M86" s="145" t="str">
        <x:v>回溯</x:v>
      </x:c>
      <x:c r="N86" s="165" t="str">
        <x:v>可重复选择的组合搜索</x:v>
      </x:c>
      <x:c r="O86" s="165" t="str">
        <x:v>Grind 75核心</x:v>
      </x:c>
      <x:c r="P86" s="171" t="n">
        <x:v>30</x:v>
      </x:c>
      <x:c r="Q86" s="151" t="str">
        <x:v>盲做并先口述暴力法与优化方向，到时停笔，完成后写复杂度、边界与可追问点</x:v>
      </x:c>
      <x:c r="R86" s="145" t="str">
        <x:v>未开始</x:v>
      </x:c>
      <x:c r="S86" s="145"/>
      <x:c r="T86" s="177"/>
      <x:c r="U86" s="145"/>
      <x:c r="V86" s="151"/>
      <x:c r="W86" s="112" t="str">
        <x:v>https://leetcode.com/problems/combination-sum/</x:v>
      </x:c>
    </x:row>
    <x:row r="87" ht="34" customHeight="1">
      <x:c r="A87" s="99" t="n">
        <x:v>17</x:v>
      </x:c>
      <x:c r="B87" s="145" t="str">
        <x:v>阶段二 高频中等题主干</x:v>
      </x:c>
      <x:c r="C87" s="145" t="n">
        <x:v>3</x:v>
      </x:c>
      <x:c r="D87" s="145" t="str">
        <x:v>短间隔复做</x:v>
      </x:c>
      <x:c r="E87" s="145" t="str">
        <x:v>交错复盘</x:v>
      </x:c>
      <x:c r="F87" s="145" t="n">
        <x:v>2</x:v>
      </x:c>
      <x:c r="G87" s="145" t="n">
        <x:v>2</x:v>
      </x:c>
      <x:c r="H87" s="145" t="n">
        <x:v>200</x:v>
      </x:c>
      <x:c r="I87" s="151" t="str">
        <x:v>岛屿数量</x:v>
      </x:c>
      <x:c r="J87" s="151" t="str">
        <x:v>Number of Islands</x:v>
      </x:c>
      <x:c r="K87" s="145" t="str">
        <x:v>中等</x:v>
      </x:c>
      <x:c r="L87" s="145" t="str">
        <x:v>图与并查集</x:v>
      </x:c>
      <x:c r="M87" s="145" t="str">
        <x:v>图论</x:v>
      </x:c>
      <x:c r="N87" s="165" t="str">
        <x:v>网格连通分量</x:v>
      </x:c>
      <x:c r="O87" s="165" t="str">
        <x:v>Grind 75核心</x:v>
      </x:c>
      <x:c r="P87" s="171" t="n">
        <x:v>16</x:v>
      </x:c>
      <x:c r="Q87" s="151" t="str">
        <x:v>空白编辑器重写，禁止看旧代码，卡住五分钟后只看最小提示</x:v>
      </x:c>
      <x:c r="R87" s="145" t="str">
        <x:v>未开始</x:v>
      </x:c>
      <x:c r="S87" s="145"/>
      <x:c r="T87" s="177"/>
      <x:c r="U87" s="145"/>
      <x:c r="V87" s="151"/>
      <x:c r="W87" s="112" t="str">
        <x:v>https://leetcode.com/problems/number-of-islands/</x:v>
      </x:c>
    </x:row>
    <x:row r="88" ht="34" customHeight="1">
      <x:c r="A88" s="99" t="n">
        <x:v>17</x:v>
      </x:c>
      <x:c r="B88" s="145" t="str">
        <x:v>阶段二 高频中等题主干</x:v>
      </x:c>
      <x:c r="C88" s="145" t="n">
        <x:v>4</x:v>
      </x:c>
      <x:c r="D88" s="145" t="str">
        <x:v>新题</x:v>
      </x:c>
      <x:c r="E88" s="145" t="str">
        <x:v>主练二</x:v>
      </x:c>
      <x:c r="F88" s="145" t="n">
        <x:v>0</x:v>
      </x:c>
      <x:c r="G88" s="145" t="n">
        <x:v>0</x:v>
      </x:c>
      <x:c r="H88" s="145" t="n">
        <x:v>46</x:v>
      </x:c>
      <x:c r="I88" s="151" t="str">
        <x:v>全排列</x:v>
      </x:c>
      <x:c r="J88" s="151" t="str">
        <x:v>Permutations</x:v>
      </x:c>
      <x:c r="K88" s="145" t="str">
        <x:v>中等</x:v>
      </x:c>
      <x:c r="L88" s="145" t="str">
        <x:v>回溯</x:v>
      </x:c>
      <x:c r="M88" s="145" t="str">
        <x:v>回溯</x:v>
      </x:c>
      <x:c r="N88" s="165" t="str">
        <x:v>排列搜索与使用标记</x:v>
      </x:c>
      <x:c r="O88" s="165" t="str">
        <x:v>Grind 75核心</x:v>
      </x:c>
      <x:c r="P88" s="171" t="n">
        <x:v>30</x:v>
      </x:c>
      <x:c r="Q88" s="151" t="str">
        <x:v>盲做并先口述暴力法与优化方向，到时停笔，完成后写复杂度、边界与可追问点</x:v>
      </x:c>
      <x:c r="R88" s="145" t="str">
        <x:v>未开始</x:v>
      </x:c>
      <x:c r="S88" s="145"/>
      <x:c r="T88" s="177"/>
      <x:c r="U88" s="145"/>
      <x:c r="V88" s="151"/>
      <x:c r="W88" s="112" t="str">
        <x:v>https://leetcode.com/problems/permutations/</x:v>
      </x:c>
    </x:row>
    <x:row r="89" ht="34" customHeight="1">
      <x:c r="A89" s="99" t="n">
        <x:v>17</x:v>
      </x:c>
      <x:c r="B89" s="145" t="str">
        <x:v>阶段二 高频中等题主干</x:v>
      </x:c>
      <x:c r="C89" s="145" t="n">
        <x:v>5</x:v>
      </x:c>
      <x:c r="D89" s="145" t="str">
        <x:v>短间隔复做</x:v>
      </x:c>
      <x:c r="E89" s="145" t="str">
        <x:v>长间隔复做</x:v>
      </x:c>
      <x:c r="F89" s="145" t="n">
        <x:v>1</x:v>
      </x:c>
      <x:c r="G89" s="145" t="n">
        <x:v>1</x:v>
      </x:c>
      <x:c r="H89" s="145" t="n">
        <x:v>33</x:v>
      </x:c>
      <x:c r="I89" s="151" t="str">
        <x:v>搜索旋转排序数组</x:v>
      </x:c>
      <x:c r="J89" s="151" t="str">
        <x:v>Search in Rotated Sorted Array</x:v>
      </x:c>
      <x:c r="K89" s="145" t="str">
        <x:v>中等</x:v>
      </x:c>
      <x:c r="L89" s="145" t="str">
        <x:v>二分查找</x:v>
      </x:c>
      <x:c r="M89" s="145" t="str">
        <x:v>二分查找</x:v>
      </x:c>
      <x:c r="N89" s="165" t="str">
        <x:v>有序半区判断</x:v>
      </x:c>
      <x:c r="O89" s="165" t="str">
        <x:v>Grind 75核心</x:v>
      </x:c>
      <x:c r="P89" s="171" t="n">
        <x:v>20</x:v>
      </x:c>
      <x:c r="Q89" s="151" t="str">
        <x:v>空白编辑器重写，禁止看旧代码，卡住五分钟后只看最小提示</x:v>
      </x:c>
      <x:c r="R89" s="145" t="str">
        <x:v>未开始</x:v>
      </x:c>
      <x:c r="S89" s="145"/>
      <x:c r="T89" s="177"/>
      <x:c r="U89" s="145"/>
      <x:c r="V89" s="151"/>
      <x:c r="W89" s="112" t="str">
        <x:v>https://leetcode.com/problems/search-in-rotated-sorted-array/</x:v>
      </x:c>
    </x:row>
    <x:row r="90" ht="34" customHeight="1">
      <x:c r="A90" s="99" t="n">
        <x:v>18</x:v>
      </x:c>
      <x:c r="B90" s="145" t="str">
        <x:v>阶段二 高频中等题主干</x:v>
      </x:c>
      <x:c r="C90" s="145" t="n">
        <x:v>1</x:v>
      </x:c>
      <x:c r="D90" s="145" t="str">
        <x:v>短间隔复做</x:v>
      </x:c>
      <x:c r="E90" s="145" t="str">
        <x:v>主动回忆热身</x:v>
      </x:c>
      <x:c r="F90" s="145" t="n">
        <x:v>2</x:v>
      </x:c>
      <x:c r="G90" s="145" t="n">
        <x:v>2</x:v>
      </x:c>
      <x:c r="H90" s="145" t="n">
        <x:v>994</x:v>
      </x:c>
      <x:c r="I90" s="151" t="str">
        <x:v>腐烂的橘子</x:v>
      </x:c>
      <x:c r="J90" s="151" t="str">
        <x:v>Rotting Oranges</x:v>
      </x:c>
      <x:c r="K90" s="145" t="str">
        <x:v>中等</x:v>
      </x:c>
      <x:c r="L90" s="145" t="str">
        <x:v>图与并查集</x:v>
      </x:c>
      <x:c r="M90" s="145" t="str">
        <x:v>图论</x:v>
      </x:c>
      <x:c r="N90" s="165" t="str">
        <x:v>多源广搜分层</x:v>
      </x:c>
      <x:c r="O90" s="165" t="str">
        <x:v>Grind 75核心</x:v>
      </x:c>
      <x:c r="P90" s="171" t="n">
        <x:v>20</x:v>
      </x:c>
      <x:c r="Q90" s="151" t="str">
        <x:v>空白编辑器重写，禁止看旧代码，卡住五分钟后只看最小提示</x:v>
      </x:c>
      <x:c r="R90" s="145" t="str">
        <x:v>未开始</x:v>
      </x:c>
      <x:c r="S90" s="145"/>
      <x:c r="T90" s="177"/>
      <x:c r="U90" s="145"/>
      <x:c r="V90" s="151"/>
      <x:c r="W90" s="112" t="str">
        <x:v>https://leetcode.com/problems/rotting-oranges/</x:v>
      </x:c>
    </x:row>
    <x:row r="91" ht="34" customHeight="1">
      <x:c r="A91" s="99" t="n">
        <x:v>18</x:v>
      </x:c>
      <x:c r="B91" s="145" t="str">
        <x:v>阶段二 高频中等题主干</x:v>
      </x:c>
      <x:c r="C91" s="145" t="n">
        <x:v>2</x:v>
      </x:c>
      <x:c r="D91" s="145" t="str">
        <x:v>新题</x:v>
      </x:c>
      <x:c r="E91" s="145" t="str">
        <x:v>主练一</x:v>
      </x:c>
      <x:c r="F91" s="145" t="n">
        <x:v>0</x:v>
      </x:c>
      <x:c r="G91" s="145" t="n">
        <x:v>0</x:v>
      </x:c>
      <x:c r="H91" s="145" t="n">
        <x:v>56</x:v>
      </x:c>
      <x:c r="I91" s="151" t="str">
        <x:v>合并区间</x:v>
      </x:c>
      <x:c r="J91" s="151" t="str">
        <x:v>Merge Intervals</x:v>
      </x:c>
      <x:c r="K91" s="145" t="str">
        <x:v>中等</x:v>
      </x:c>
      <x:c r="L91" s="145" t="str">
        <x:v>贪心与区间</x:v>
      </x:c>
      <x:c r="M91" s="145" t="str">
        <x:v>区间与贪心</x:v>
      </x:c>
      <x:c r="N91" s="165" t="str">
        <x:v>排序后合并</x:v>
      </x:c>
      <x:c r="O91" s="165" t="str">
        <x:v>Grind 75核心</x:v>
      </x:c>
      <x:c r="P91" s="171" t="n">
        <x:v>30</x:v>
      </x:c>
      <x:c r="Q91" s="151" t="str">
        <x:v>盲做并先口述暴力法与优化方向，到时停笔，完成后写复杂度、边界与可追问点</x:v>
      </x:c>
      <x:c r="R91" s="145" t="str">
        <x:v>未开始</x:v>
      </x:c>
      <x:c r="S91" s="145"/>
      <x:c r="T91" s="177"/>
      <x:c r="U91" s="145"/>
      <x:c r="V91" s="151"/>
      <x:c r="W91" s="112" t="str">
        <x:v>https://leetcode.com/problems/merge-intervals/</x:v>
      </x:c>
    </x:row>
    <x:row r="92" ht="34" customHeight="1">
      <x:c r="A92" s="99" t="n">
        <x:v>18</x:v>
      </x:c>
      <x:c r="B92" s="145" t="str">
        <x:v>阶段二 高频中等题主干</x:v>
      </x:c>
      <x:c r="C92" s="145" t="n">
        <x:v>3</x:v>
      </x:c>
      <x:c r="D92" s="145" t="str">
        <x:v>短间隔复做</x:v>
      </x:c>
      <x:c r="E92" s="145" t="str">
        <x:v>交错复盘</x:v>
      </x:c>
      <x:c r="F92" s="145" t="n">
        <x:v>1</x:v>
      </x:c>
      <x:c r="G92" s="145" t="n">
        <x:v>1</x:v>
      </x:c>
      <x:c r="H92" s="145" t="n">
        <x:v>39</x:v>
      </x:c>
      <x:c r="I92" s="151" t="str">
        <x:v>组合总和</x:v>
      </x:c>
      <x:c r="J92" s="151" t="str">
        <x:v>Combination Sum</x:v>
      </x:c>
      <x:c r="K92" s="145" t="str">
        <x:v>中等</x:v>
      </x:c>
      <x:c r="L92" s="145" t="str">
        <x:v>回溯</x:v>
      </x:c>
      <x:c r="M92" s="145" t="str">
        <x:v>回溯</x:v>
      </x:c>
      <x:c r="N92" s="165" t="str">
        <x:v>可重复选择的组合搜索</x:v>
      </x:c>
      <x:c r="O92" s="165" t="str">
        <x:v>Grind 75核心</x:v>
      </x:c>
      <x:c r="P92" s="171" t="n">
        <x:v>20</x:v>
      </x:c>
      <x:c r="Q92" s="151" t="str">
        <x:v>空白编辑器重写，禁止看旧代码，卡住五分钟后只看最小提示</x:v>
      </x:c>
      <x:c r="R92" s="145" t="str">
        <x:v>未开始</x:v>
      </x:c>
      <x:c r="S92" s="145"/>
      <x:c r="T92" s="177"/>
      <x:c r="U92" s="145"/>
      <x:c r="V92" s="151"/>
      <x:c r="W92" s="112" t="str">
        <x:v>https://leetcode.com/problems/combination-sum/</x:v>
      </x:c>
    </x:row>
    <x:row r="93" ht="34" customHeight="1">
      <x:c r="A93" s="99" t="n">
        <x:v>18</x:v>
      </x:c>
      <x:c r="B93" s="145" t="str">
        <x:v>阶段二 高频中等题主干</x:v>
      </x:c>
      <x:c r="C93" s="145" t="n">
        <x:v>4</x:v>
      </x:c>
      <x:c r="D93" s="145" t="str">
        <x:v>新题</x:v>
      </x:c>
      <x:c r="E93" s="145" t="str">
        <x:v>主练二</x:v>
      </x:c>
      <x:c r="F93" s="145" t="n">
        <x:v>0</x:v>
      </x:c>
      <x:c r="G93" s="145" t="n">
        <x:v>0</x:v>
      </x:c>
      <x:c r="H93" s="145" t="n">
        <x:v>236</x:v>
      </x:c>
      <x:c r="I93" s="151" t="str">
        <x:v>二叉树的最近公共祖先</x:v>
      </x:c>
      <x:c r="J93" s="151" t="str">
        <x:v>Lowest Common Ancestor of a Binary Tree</x:v>
      </x:c>
      <x:c r="K93" s="145" t="str">
        <x:v>中等</x:v>
      </x:c>
      <x:c r="L93" s="145" t="str">
        <x:v>树与递归</x:v>
      </x:c>
      <x:c r="M93" s="145" t="str">
        <x:v>二叉树</x:v>
      </x:c>
      <x:c r="N93" s="165" t="str">
        <x:v>后序递归汇总</x:v>
      </x:c>
      <x:c r="O93" s="165" t="str">
        <x:v>Grind 75核心</x:v>
      </x:c>
      <x:c r="P93" s="171" t="n">
        <x:v>25</x:v>
      </x:c>
      <x:c r="Q93" s="151" t="str">
        <x:v>盲做并先口述暴力法与优化方向，到时停笔，完成后写复杂度、边界与可追问点</x:v>
      </x:c>
      <x:c r="R93" s="145" t="str">
        <x:v>未开始</x:v>
      </x:c>
      <x:c r="S93" s="145"/>
      <x:c r="T93" s="177"/>
      <x:c r="U93" s="145"/>
      <x:c r="V93" s="151"/>
      <x:c r="W93" s="112" t="str">
        <x:v>https://leetcode.com/problems/lowest-common-ancestor-of-a-binary-tree/</x:v>
      </x:c>
    </x:row>
    <x:row r="94" ht="34" customHeight="1">
      <x:c r="A94" s="99" t="n">
        <x:v>18</x:v>
      </x:c>
      <x:c r="B94" s="145" t="str">
        <x:v>阶段二 高频中等题主干</x:v>
      </x:c>
      <x:c r="C94" s="145" t="n">
        <x:v>5</x:v>
      </x:c>
      <x:c r="D94" s="145" t="str">
        <x:v>短间隔复做</x:v>
      </x:c>
      <x:c r="E94" s="145" t="str">
        <x:v>长间隔复做</x:v>
      </x:c>
      <x:c r="F94" s="145" t="n">
        <x:v>1</x:v>
      </x:c>
      <x:c r="G94" s="145" t="n">
        <x:v>1</x:v>
      </x:c>
      <x:c r="H94" s="145" t="n">
        <x:v>46</x:v>
      </x:c>
      <x:c r="I94" s="151" t="str">
        <x:v>全排列</x:v>
      </x:c>
      <x:c r="J94" s="151" t="str">
        <x:v>Permutations</x:v>
      </x:c>
      <x:c r="K94" s="145" t="str">
        <x:v>中等</x:v>
      </x:c>
      <x:c r="L94" s="145" t="str">
        <x:v>回溯</x:v>
      </x:c>
      <x:c r="M94" s="145" t="str">
        <x:v>回溯</x:v>
      </x:c>
      <x:c r="N94" s="165" t="str">
        <x:v>排列搜索与使用标记</x:v>
      </x:c>
      <x:c r="O94" s="165" t="str">
        <x:v>Grind 75核心</x:v>
      </x:c>
      <x:c r="P94" s="171" t="n">
        <x:v>20</x:v>
      </x:c>
      <x:c r="Q94" s="151" t="str">
        <x:v>空白编辑器重写，禁止看旧代码，卡住五分钟后只看最小提示</x:v>
      </x:c>
      <x:c r="R94" s="145" t="str">
        <x:v>未开始</x:v>
      </x:c>
      <x:c r="S94" s="145"/>
      <x:c r="T94" s="177"/>
      <x:c r="U94" s="145"/>
      <x:c r="V94" s="151"/>
      <x:c r="W94" s="112" t="str">
        <x:v>https://leetcode.com/problems/permutations/</x:v>
      </x:c>
    </x:row>
    <x:row r="95" ht="34" customHeight="1">
      <x:c r="A95" s="99" t="n">
        <x:v>19</x:v>
      </x:c>
      <x:c r="B95" s="145" t="str">
        <x:v>阶段二 高频中等题主干</x:v>
      </x:c>
      <x:c r="C95" s="145" t="n">
        <x:v>1</x:v>
      </x:c>
      <x:c r="D95" s="145" t="str">
        <x:v>短间隔复做</x:v>
      </x:c>
      <x:c r="E95" s="145" t="str">
        <x:v>主动回忆热身</x:v>
      </x:c>
      <x:c r="F95" s="145" t="n">
        <x:v>1</x:v>
      </x:c>
      <x:c r="G95" s="145" t="n">
        <x:v>1</x:v>
      </x:c>
      <x:c r="H95" s="145" t="n">
        <x:v>56</x:v>
      </x:c>
      <x:c r="I95" s="151" t="str">
        <x:v>合并区间</x:v>
      </x:c>
      <x:c r="J95" s="151" t="str">
        <x:v>Merge Intervals</x:v>
      </x:c>
      <x:c r="K95" s="145" t="str">
        <x:v>中等</x:v>
      </x:c>
      <x:c r="L95" s="145" t="str">
        <x:v>贪心与区间</x:v>
      </x:c>
      <x:c r="M95" s="145" t="str">
        <x:v>区间与贪心</x:v>
      </x:c>
      <x:c r="N95" s="165" t="str">
        <x:v>排序后合并</x:v>
      </x:c>
      <x:c r="O95" s="165" t="str">
        <x:v>Grind 75核心</x:v>
      </x:c>
      <x:c r="P95" s="171" t="n">
        <x:v>20</x:v>
      </x:c>
      <x:c r="Q95" s="151" t="str">
        <x:v>空白编辑器重写，禁止看旧代码，卡住五分钟后只看最小提示</x:v>
      </x:c>
      <x:c r="R95" s="145" t="str">
        <x:v>未开始</x:v>
      </x:c>
      <x:c r="S95" s="145"/>
      <x:c r="T95" s="177"/>
      <x:c r="U95" s="145"/>
      <x:c r="V95" s="151"/>
      <x:c r="W95" s="112" t="str">
        <x:v>https://leetcode.com/problems/merge-intervals/</x:v>
      </x:c>
    </x:row>
    <x:row r="96" ht="34" customHeight="1">
      <x:c r="A96" s="99" t="n">
        <x:v>19</x:v>
      </x:c>
      <x:c r="B96" s="145" t="str">
        <x:v>阶段二 高频中等题主干</x:v>
      </x:c>
      <x:c r="C96" s="145" t="n">
        <x:v>2</x:v>
      </x:c>
      <x:c r="D96" s="145" t="str">
        <x:v>新题</x:v>
      </x:c>
      <x:c r="E96" s="145" t="str">
        <x:v>主练一</x:v>
      </x:c>
      <x:c r="F96" s="145" t="n">
        <x:v>0</x:v>
      </x:c>
      <x:c r="G96" s="145" t="n">
        <x:v>0</x:v>
      </x:c>
      <x:c r="H96" s="145" t="n">
        <x:v>981</x:v>
      </x:c>
      <x:c r="I96" s="151" t="str">
        <x:v>基于时间的键值存储</x:v>
      </x:c>
      <x:c r="J96" s="151" t="str">
        <x:v>Time Based Key Value Store</x:v>
      </x:c>
      <x:c r="K96" s="145" t="str">
        <x:v>中等</x:v>
      </x:c>
      <x:c r="L96" s="145" t="str">
        <x:v>二分查找</x:v>
      </x:c>
      <x:c r="M96" s="145" t="str">
        <x:v>二分查找</x:v>
      </x:c>
      <x:c r="N96" s="165" t="str">
        <x:v>时间序列二分</x:v>
      </x:c>
      <x:c r="O96" s="165" t="str">
        <x:v>Grind 75核心</x:v>
      </x:c>
      <x:c r="P96" s="171" t="n">
        <x:v>35</x:v>
      </x:c>
      <x:c r="Q96" s="151" t="str">
        <x:v>盲做并先口述暴力法与优化方向，到时停笔，完成后写复杂度、边界与可追问点</x:v>
      </x:c>
      <x:c r="R96" s="145" t="str">
        <x:v>未开始</x:v>
      </x:c>
      <x:c r="S96" s="145"/>
      <x:c r="T96" s="177"/>
      <x:c r="U96" s="145"/>
      <x:c r="V96" s="151"/>
      <x:c r="W96" s="112" t="str">
        <x:v>https://leetcode.com/problems/time-based-key-value-store/</x:v>
      </x:c>
    </x:row>
    <x:row r="97" ht="34" customHeight="1">
      <x:c r="A97" s="99" t="n">
        <x:v>19</x:v>
      </x:c>
      <x:c r="B97" s="145" t="str">
        <x:v>阶段二 高频中等题主干</x:v>
      </x:c>
      <x:c r="C97" s="145" t="n">
        <x:v>3</x:v>
      </x:c>
      <x:c r="D97" s="145" t="str">
        <x:v>短间隔复做</x:v>
      </x:c>
      <x:c r="E97" s="145" t="str">
        <x:v>交错复盘</x:v>
      </x:c>
      <x:c r="F97" s="145" t="n">
        <x:v>1</x:v>
      </x:c>
      <x:c r="G97" s="145" t="n">
        <x:v>1</x:v>
      </x:c>
      <x:c r="H97" s="145" t="n">
        <x:v>236</x:v>
      </x:c>
      <x:c r="I97" s="151" t="str">
        <x:v>二叉树的最近公共祖先</x:v>
      </x:c>
      <x:c r="J97" s="151" t="str">
        <x:v>Lowest Common Ancestor of a Binary Tree</x:v>
      </x:c>
      <x:c r="K97" s="145" t="str">
        <x:v>中等</x:v>
      </x:c>
      <x:c r="L97" s="145" t="str">
        <x:v>树与递归</x:v>
      </x:c>
      <x:c r="M97" s="145" t="str">
        <x:v>二叉树</x:v>
      </x:c>
      <x:c r="N97" s="165" t="str">
        <x:v>后序递归汇总</x:v>
      </x:c>
      <x:c r="O97" s="165" t="str">
        <x:v>Grind 75核心</x:v>
      </x:c>
      <x:c r="P97" s="171" t="n">
        <x:v>16</x:v>
      </x:c>
      <x:c r="Q97" s="151" t="str">
        <x:v>空白编辑器重写，禁止看旧代码，卡住五分钟后只看最小提示</x:v>
      </x:c>
      <x:c r="R97" s="145" t="str">
        <x:v>未开始</x:v>
      </x:c>
      <x:c r="S97" s="145"/>
      <x:c r="T97" s="177"/>
      <x:c r="U97" s="145"/>
      <x:c r="V97" s="151"/>
      <x:c r="W97" s="112" t="str">
        <x:v>https://leetcode.com/problems/lowest-common-ancestor-of-a-binary-tree/</x:v>
      </x:c>
    </x:row>
    <x:row r="98" ht="34" customHeight="1">
      <x:c r="A98" s="99" t="n">
        <x:v>19</x:v>
      </x:c>
      <x:c r="B98" s="145" t="str">
        <x:v>阶段二 高频中等题主干</x:v>
      </x:c>
      <x:c r="C98" s="145" t="n">
        <x:v>4</x:v>
      </x:c>
      <x:c r="D98" s="145" t="str">
        <x:v>新题</x:v>
      </x:c>
      <x:c r="E98" s="145" t="str">
        <x:v>主练二</x:v>
      </x:c>
      <x:c r="F98" s="145" t="n">
        <x:v>0</x:v>
      </x:c>
      <x:c r="G98" s="145" t="n">
        <x:v>0</x:v>
      </x:c>
      <x:c r="H98" s="145" t="n">
        <x:v>721</x:v>
      </x:c>
      <x:c r="I98" s="151" t="str">
        <x:v>账户合并</x:v>
      </x:c>
      <x:c r="J98" s="151" t="str">
        <x:v>Accounts Merge</x:v>
      </x:c>
      <x:c r="K98" s="145" t="str">
        <x:v>中等</x:v>
      </x:c>
      <x:c r="L98" s="145" t="str">
        <x:v>图与并查集</x:v>
      </x:c>
      <x:c r="M98" s="145" t="str">
        <x:v>图论</x:v>
      </x:c>
      <x:c r="N98" s="165" t="str">
        <x:v>并查集或图遍历</x:v>
      </x:c>
      <x:c r="O98" s="165" t="str">
        <x:v>Grind 75核心</x:v>
      </x:c>
      <x:c r="P98" s="171" t="n">
        <x:v>30</x:v>
      </x:c>
      <x:c r="Q98" s="151" t="str">
        <x:v>盲做并先口述暴力法与优化方向，到时停笔，完成后写复杂度、边界与可追问点</x:v>
      </x:c>
      <x:c r="R98" s="145" t="str">
        <x:v>未开始</x:v>
      </x:c>
      <x:c r="S98" s="145"/>
      <x:c r="T98" s="177"/>
      <x:c r="U98" s="145"/>
      <x:c r="V98" s="151"/>
      <x:c r="W98" s="112" t="str">
        <x:v>https://leetcode.com/problems/accounts-merge/</x:v>
      </x:c>
    </x:row>
    <x:row r="99" ht="34" customHeight="1">
      <x:c r="A99" s="99" t="n">
        <x:v>19</x:v>
      </x:c>
      <x:c r="B99" s="145" t="str">
        <x:v>阶段二 高频中等题主干</x:v>
      </x:c>
      <x:c r="C99" s="145" t="n">
        <x:v>5</x:v>
      </x:c>
      <x:c r="D99" s="145" t="str">
        <x:v>长间隔复做</x:v>
      </x:c>
      <x:c r="E99" s="145" t="str">
        <x:v>长间隔复做</x:v>
      </x:c>
      <x:c r="F99" s="145" t="n">
        <x:v>18</x:v>
      </x:c>
      <x:c r="G99" s="145" t="n">
        <x:v>16</x:v>
      </x:c>
      <x:c r="H99" s="145" t="n">
        <x:v>1</x:v>
      </x:c>
      <x:c r="I99" s="151" t="str">
        <x:v>两数之和</x:v>
      </x:c>
      <x:c r="J99" s="151" t="str">
        <x:v>Two Sum</x:v>
      </x:c>
      <x:c r="K99" s="145" t="str">
        <x:v>简单</x:v>
      </x:c>
      <x:c r="L99" s="145" t="str">
        <x:v>数组与哈希</x:v>
      </x:c>
      <x:c r="M99" s="145" t="str">
        <x:v>数组与哈希</x:v>
      </x:c>
      <x:c r="N99" s="165" t="str">
        <x:v>哈希表查补数</x:v>
      </x:c>
      <x:c r="O99" s="165" t="str">
        <x:v>Grind 75核心</x:v>
      </x:c>
      <x:c r="P99" s="171" t="n">
        <x:v>10</x:v>
      </x:c>
      <x:c r="Q99" s="151" t="str">
        <x:v>严格限时独立完成，先说模式与不变量，再回答复杂度和替代方案</x:v>
      </x:c>
      <x:c r="R99" s="145" t="str">
        <x:v>未开始</x:v>
      </x:c>
      <x:c r="S99" s="145"/>
      <x:c r="T99" s="177"/>
      <x:c r="U99" s="145"/>
      <x:c r="V99" s="151"/>
      <x:c r="W99" s="112" t="str">
        <x:v>https://leetcode.com/problems/two-sum/</x:v>
      </x:c>
    </x:row>
    <x:row r="100" ht="34" customHeight="1">
      <x:c r="A100" s="99" t="n">
        <x:v>20</x:v>
      </x:c>
      <x:c r="B100" s="145" t="str">
        <x:v>阶段二 高频中等题主干</x:v>
      </x:c>
      <x:c r="C100" s="145" t="n">
        <x:v>1</x:v>
      </x:c>
      <x:c r="D100" s="145" t="str">
        <x:v>短间隔复做</x:v>
      </x:c>
      <x:c r="E100" s="145" t="str">
        <x:v>主动回忆热身</x:v>
      </x:c>
      <x:c r="F100" s="145" t="n">
        <x:v>1</x:v>
      </x:c>
      <x:c r="G100" s="145" t="n">
        <x:v>1</x:v>
      </x:c>
      <x:c r="H100" s="145" t="n">
        <x:v>981</x:v>
      </x:c>
      <x:c r="I100" s="151" t="str">
        <x:v>基于时间的键值存储</x:v>
      </x:c>
      <x:c r="J100" s="151" t="str">
        <x:v>Time Based Key Value Store</x:v>
      </x:c>
      <x:c r="K100" s="145" t="str">
        <x:v>中等</x:v>
      </x:c>
      <x:c r="L100" s="145" t="str">
        <x:v>二分查找</x:v>
      </x:c>
      <x:c r="M100" s="145" t="str">
        <x:v>二分查找</x:v>
      </x:c>
      <x:c r="N100" s="165" t="str">
        <x:v>时间序列二分</x:v>
      </x:c>
      <x:c r="O100" s="165" t="str">
        <x:v>Grind 75核心</x:v>
      </x:c>
      <x:c r="P100" s="171" t="n">
        <x:v>23</x:v>
      </x:c>
      <x:c r="Q100" s="151" t="str">
        <x:v>空白编辑器重写，禁止看旧代码，卡住五分钟后只看最小提示</x:v>
      </x:c>
      <x:c r="R100" s="145" t="str">
        <x:v>未开始</x:v>
      </x:c>
      <x:c r="S100" s="145"/>
      <x:c r="T100" s="177"/>
      <x:c r="U100" s="145"/>
      <x:c r="V100" s="151"/>
      <x:c r="W100" s="112" t="str">
        <x:v>https://leetcode.com/problems/time-based-key-value-store/</x:v>
      </x:c>
    </x:row>
    <x:row r="101" ht="34" customHeight="1">
      <x:c r="A101" s="99" t="n">
        <x:v>20</x:v>
      </x:c>
      <x:c r="B101" s="145" t="str">
        <x:v>阶段二 高频中等题主干</x:v>
      </x:c>
      <x:c r="C101" s="145" t="n">
        <x:v>2</x:v>
      </x:c>
      <x:c r="D101" s="145" t="str">
        <x:v>新题</x:v>
      </x:c>
      <x:c r="E101" s="145" t="str">
        <x:v>主练一</x:v>
      </x:c>
      <x:c r="F101" s="145" t="n">
        <x:v>0</x:v>
      </x:c>
      <x:c r="G101" s="145" t="n">
        <x:v>0</x:v>
      </x:c>
      <x:c r="H101" s="145" t="n">
        <x:v>75</x:v>
      </x:c>
      <x:c r="I101" s="151" t="str">
        <x:v>颜色分类</x:v>
      </x:c>
      <x:c r="J101" s="151" t="str">
        <x:v>Sort Colors</x:v>
      </x:c>
      <x:c r="K101" s="145" t="str">
        <x:v>中等</x:v>
      </x:c>
      <x:c r="L101" s="145" t="str">
        <x:v>双指针</x:v>
      </x:c>
      <x:c r="M101" s="145" t="str">
        <x:v>双指针</x:v>
      </x:c>
      <x:c r="N101" s="165" t="str">
        <x:v>荷兰国旗三指针</x:v>
      </x:c>
      <x:c r="O101" s="165" t="str">
        <x:v>Grind 75核心</x:v>
      </x:c>
      <x:c r="P101" s="171" t="n">
        <x:v>25</x:v>
      </x:c>
      <x:c r="Q101" s="151" t="str">
        <x:v>盲做并先口述暴力法与优化方向，到时停笔，完成后写复杂度、边界与可追问点</x:v>
      </x:c>
      <x:c r="R101" s="145" t="str">
        <x:v>未开始</x:v>
      </x:c>
      <x:c r="S101" s="145"/>
      <x:c r="T101" s="177"/>
      <x:c r="U101" s="145"/>
      <x:c r="V101" s="151"/>
      <x:c r="W101" s="112" t="str">
        <x:v>https://leetcode.com/problems/sort-colors/</x:v>
      </x:c>
    </x:row>
    <x:row r="102" ht="34" customHeight="1">
      <x:c r="A102" s="99" t="n">
        <x:v>20</x:v>
      </x:c>
      <x:c r="B102" s="145" t="str">
        <x:v>阶段二 高频中等题主干</x:v>
      </x:c>
      <x:c r="C102" s="145" t="n">
        <x:v>3</x:v>
      </x:c>
      <x:c r="D102" s="145" t="str">
        <x:v>短间隔复做</x:v>
      </x:c>
      <x:c r="E102" s="145" t="str">
        <x:v>交错复盘</x:v>
      </x:c>
      <x:c r="F102" s="145" t="n">
        <x:v>1</x:v>
      </x:c>
      <x:c r="G102" s="145" t="n">
        <x:v>1</x:v>
      </x:c>
      <x:c r="H102" s="145" t="n">
        <x:v>721</x:v>
      </x:c>
      <x:c r="I102" s="151" t="str">
        <x:v>账户合并</x:v>
      </x:c>
      <x:c r="J102" s="151" t="str">
        <x:v>Accounts Merge</x:v>
      </x:c>
      <x:c r="K102" s="145" t="str">
        <x:v>中等</x:v>
      </x:c>
      <x:c r="L102" s="145" t="str">
        <x:v>图与并查集</x:v>
      </x:c>
      <x:c r="M102" s="145" t="str">
        <x:v>图论</x:v>
      </x:c>
      <x:c r="N102" s="165" t="str">
        <x:v>并查集或图遍历</x:v>
      </x:c>
      <x:c r="O102" s="165" t="str">
        <x:v>Grind 75核心</x:v>
      </x:c>
      <x:c r="P102" s="171" t="n">
        <x:v>20</x:v>
      </x:c>
      <x:c r="Q102" s="151" t="str">
        <x:v>空白编辑器重写，禁止看旧代码，卡住五分钟后只看最小提示</x:v>
      </x:c>
      <x:c r="R102" s="145" t="str">
        <x:v>未开始</x:v>
      </x:c>
      <x:c r="S102" s="145"/>
      <x:c r="T102" s="177"/>
      <x:c r="U102" s="145"/>
      <x:c r="V102" s="151"/>
      <x:c r="W102" s="112" t="str">
        <x:v>https://leetcode.com/problems/accounts-merge/</x:v>
      </x:c>
    </x:row>
    <x:row r="103" ht="34" customHeight="1">
      <x:c r="A103" s="99" t="n">
        <x:v>20</x:v>
      </x:c>
      <x:c r="B103" s="145" t="str">
        <x:v>阶段二 高频中等题主干</x:v>
      </x:c>
      <x:c r="C103" s="145" t="n">
        <x:v>4</x:v>
      </x:c>
      <x:c r="D103" s="145" t="str">
        <x:v>新题</x:v>
      </x:c>
      <x:c r="E103" s="145" t="str">
        <x:v>主练二</x:v>
      </x:c>
      <x:c r="F103" s="145" t="n">
        <x:v>0</x:v>
      </x:c>
      <x:c r="G103" s="145" t="n">
        <x:v>0</x:v>
      </x:c>
      <x:c r="H103" s="145" t="n">
        <x:v>139</x:v>
      </x:c>
      <x:c r="I103" s="151" t="str">
        <x:v>单词拆分</x:v>
      </x:c>
      <x:c r="J103" s="151" t="str">
        <x:v>Word Break</x:v>
      </x:c>
      <x:c r="K103" s="145" t="str">
        <x:v>中等</x:v>
      </x:c>
      <x:c r="L103" s="145" t="str">
        <x:v>动态规划</x:v>
      </x:c>
      <x:c r="M103" s="145" t="str">
        <x:v>动态规划</x:v>
      </x:c>
      <x:c r="N103" s="165" t="str">
        <x:v>字符串划分状态转移</x:v>
      </x:c>
      <x:c r="O103" s="165" t="str">
        <x:v>Grind 75核心</x:v>
      </x:c>
      <x:c r="P103" s="171" t="n">
        <x:v>30</x:v>
      </x:c>
      <x:c r="Q103" s="151" t="str">
        <x:v>盲做并先口述暴力法与优化方向，到时停笔，完成后写复杂度、边界与可追问点</x:v>
      </x:c>
      <x:c r="R103" s="145" t="str">
        <x:v>未开始</x:v>
      </x:c>
      <x:c r="S103" s="145"/>
      <x:c r="T103" s="177"/>
      <x:c r="U103" s="145"/>
      <x:c r="V103" s="151"/>
      <x:c r="W103" s="112" t="str">
        <x:v>https://leetcode.com/problems/word-break/</x:v>
      </x:c>
    </x:row>
    <x:row r="104" ht="34" customHeight="1">
      <x:c r="A104" s="99" t="n">
        <x:v>20</x:v>
      </x:c>
      <x:c r="B104" s="145" t="str">
        <x:v>阶段二 高频中等题主干</x:v>
      </x:c>
      <x:c r="C104" s="145" t="n">
        <x:v>5</x:v>
      </x:c>
      <x:c r="D104" s="145" t="str">
        <x:v>长间隔复做</x:v>
      </x:c>
      <x:c r="E104" s="145" t="str">
        <x:v>长间隔复做</x:v>
      </x:c>
      <x:c r="F104" s="145" t="n">
        <x:v>19</x:v>
      </x:c>
      <x:c r="G104" s="145" t="n">
        <x:v>18</x:v>
      </x:c>
      <x:c r="H104" s="145" t="n">
        <x:v>20</x:v>
      </x:c>
      <x:c r="I104" s="151" t="str">
        <x:v>有效的括号</x:v>
      </x:c>
      <x:c r="J104" s="151" t="str">
        <x:v>Valid Parentheses</x:v>
      </x:c>
      <x:c r="K104" s="145" t="str">
        <x:v>简单</x:v>
      </x:c>
      <x:c r="L104" s="145" t="str">
        <x:v>栈与队列</x:v>
      </x:c>
      <x:c r="M104" s="145" t="str">
        <x:v>栈与队列</x:v>
      </x:c>
      <x:c r="N104" s="165" t="str">
        <x:v>栈与括号匹配</x:v>
      </x:c>
      <x:c r="O104" s="165" t="str">
        <x:v>Grind 75核心</x:v>
      </x:c>
      <x:c r="P104" s="171" t="n">
        <x:v>10</x:v>
      </x:c>
      <x:c r="Q104" s="151" t="str">
        <x:v>严格限时独立完成，先说模式与不变量，再回答复杂度和替代方案</x:v>
      </x:c>
      <x:c r="R104" s="145" t="str">
        <x:v>未开始</x:v>
      </x:c>
      <x:c r="S104" s="145"/>
      <x:c r="T104" s="177"/>
      <x:c r="U104" s="145"/>
      <x:c r="V104" s="151"/>
      <x:c r="W104" s="112" t="str">
        <x:v>https://leetcode.com/problems/valid-parentheses/</x:v>
      </x:c>
    </x:row>
    <x:row r="105" ht="34" customHeight="1">
      <x:c r="A105" s="99" t="n">
        <x:v>21</x:v>
      </x:c>
      <x:c r="B105" s="145" t="str">
        <x:v>阶段三 树图动态规划深化</x:v>
      </x:c>
      <x:c r="C105" s="145" t="n">
        <x:v>1</x:v>
      </x:c>
      <x:c r="D105" s="145" t="str">
        <x:v>长间隔复做</x:v>
      </x:c>
      <x:c r="E105" s="145" t="str">
        <x:v>主动回忆热身</x:v>
      </x:c>
      <x:c r="F105" s="145" t="n">
        <x:v>20</x:v>
      </x:c>
      <x:c r="G105" s="145" t="n">
        <x:v>19</x:v>
      </x:c>
      <x:c r="H105" s="145" t="n">
        <x:v>21</x:v>
      </x:c>
      <x:c r="I105" s="151" t="str">
        <x:v>合并两个有序链表</x:v>
      </x:c>
      <x:c r="J105" s="151" t="str">
        <x:v>Merge Two Sorted Lists</x:v>
      </x:c>
      <x:c r="K105" s="145" t="str">
        <x:v>简单</x:v>
      </x:c>
      <x:c r="L105" s="145" t="str">
        <x:v>链表</x:v>
      </x:c>
      <x:c r="M105" s="145" t="str">
        <x:v>链表</x:v>
      </x:c>
      <x:c r="N105" s="165" t="str">
        <x:v>归并双指针</x:v>
      </x:c>
      <x:c r="O105" s="165" t="str">
        <x:v>Grind 75核心</x:v>
      </x:c>
      <x:c r="P105" s="171" t="n">
        <x:v>10</x:v>
      </x:c>
      <x:c r="Q105" s="151" t="str">
        <x:v>严格限时独立完成，先说模式与不变量，再回答复杂度和替代方案</x:v>
      </x:c>
      <x:c r="R105" s="145" t="str">
        <x:v>未开始</x:v>
      </x:c>
      <x:c r="S105" s="145"/>
      <x:c r="T105" s="177"/>
      <x:c r="U105" s="145"/>
      <x:c r="V105" s="151"/>
      <x:c r="W105" s="112" t="str">
        <x:v>https://leetcode.com/problems/merge-two-sorted-lists/</x:v>
      </x:c>
    </x:row>
    <x:row r="106" ht="34" customHeight="1">
      <x:c r="A106" s="99" t="n">
        <x:v>21</x:v>
      </x:c>
      <x:c r="B106" s="145" t="str">
        <x:v>阶段三 树图动态规划深化</x:v>
      </x:c>
      <x:c r="C106" s="145" t="n">
        <x:v>2</x:v>
      </x:c>
      <x:c r="D106" s="145" t="str">
        <x:v>新题</x:v>
      </x:c>
      <x:c r="E106" s="145" t="str">
        <x:v>主练一</x:v>
      </x:c>
      <x:c r="F106" s="145" t="n">
        <x:v>0</x:v>
      </x:c>
      <x:c r="G106" s="145" t="n">
        <x:v>0</x:v>
      </x:c>
      <x:c r="H106" s="145" t="n">
        <x:v>416</x:v>
      </x:c>
      <x:c r="I106" s="151" t="str">
        <x:v>分割等和子集</x:v>
      </x:c>
      <x:c r="J106" s="151" t="str">
        <x:v>Partition Equal Subset Sum</x:v>
      </x:c>
      <x:c r="K106" s="145" t="str">
        <x:v>中等</x:v>
      </x:c>
      <x:c r="L106" s="145" t="str">
        <x:v>动态规划</x:v>
      </x:c>
      <x:c r="M106" s="145" t="str">
        <x:v>动态规划</x:v>
      </x:c>
      <x:c r="N106" s="165" t="str">
        <x:v>零一背包可行性</x:v>
      </x:c>
      <x:c r="O106" s="165" t="str">
        <x:v>Grind 75核心</x:v>
      </x:c>
      <x:c r="P106" s="171" t="n">
        <x:v>30</x:v>
      </x:c>
      <x:c r="Q106" s="151" t="str">
        <x:v>盲做并先口述暴力法与优化方向，到时停笔，完成后写复杂度、边界与可追问点</x:v>
      </x:c>
      <x:c r="R106" s="145" t="str">
        <x:v>未开始</x:v>
      </x:c>
      <x:c r="S106" s="145"/>
      <x:c r="T106" s="177"/>
      <x:c r="U106" s="145"/>
      <x:c r="V106" s="151"/>
      <x:c r="W106" s="112" t="str">
        <x:v>https://leetcode.com/problems/partition-equal-subset-sum/</x:v>
      </x:c>
    </x:row>
    <x:row r="107" ht="34" customHeight="1">
      <x:c r="A107" s="99" t="n">
        <x:v>21</x:v>
      </x:c>
      <x:c r="B107" s="145" t="str">
        <x:v>阶段三 树图动态规划深化</x:v>
      </x:c>
      <x:c r="C107" s="145" t="n">
        <x:v>3</x:v>
      </x:c>
      <x:c r="D107" s="145" t="str">
        <x:v>长间隔复做</x:v>
      </x:c>
      <x:c r="E107" s="145" t="str">
        <x:v>交错复盘</x:v>
      </x:c>
      <x:c r="F107" s="145" t="n">
        <x:v>20</x:v>
      </x:c>
      <x:c r="G107" s="145" t="n">
        <x:v>18</x:v>
      </x:c>
      <x:c r="H107" s="145" t="n">
        <x:v>121</x:v>
      </x:c>
      <x:c r="I107" s="151" t="str">
        <x:v>买卖股票的最佳时机</x:v>
      </x:c>
      <x:c r="J107" s="151" t="str">
        <x:v>Best Time to Buy and Sell Stock</x:v>
      </x:c>
      <x:c r="K107" s="145" t="str">
        <x:v>简单</x:v>
      </x:c>
      <x:c r="L107" s="145" t="str">
        <x:v>贪心与区间</x:v>
      </x:c>
      <x:c r="M107" s="145" t="str">
        <x:v>数组与贪心</x:v>
      </x:c>
      <x:c r="N107" s="165" t="str">
        <x:v>维护历史最小值</x:v>
      </x:c>
      <x:c r="O107" s="165" t="str">
        <x:v>Grind 75核心</x:v>
      </x:c>
      <x:c r="P107" s="171" t="n">
        <x:v>10</x:v>
      </x:c>
      <x:c r="Q107" s="151" t="str">
        <x:v>严格限时独立完成，先说模式与不变量，再回答复杂度和替代方案</x:v>
      </x:c>
      <x:c r="R107" s="145" t="str">
        <x:v>未开始</x:v>
      </x:c>
      <x:c r="S107" s="145"/>
      <x:c r="T107" s="177"/>
      <x:c r="U107" s="145"/>
      <x:c r="V107" s="151"/>
      <x:c r="W107" s="112" t="str">
        <x:v>https://leetcode.com/problems/best-time-to-buy-and-sell-stock/</x:v>
      </x:c>
    </x:row>
    <x:row r="108" ht="34" customHeight="1">
      <x:c r="A108" s="99" t="n">
        <x:v>21</x:v>
      </x:c>
      <x:c r="B108" s="145" t="str">
        <x:v>阶段三 树图动态规划深化</x:v>
      </x:c>
      <x:c r="C108" s="145" t="n">
        <x:v>4</x:v>
      </x:c>
      <x:c r="D108" s="145" t="str">
        <x:v>新题</x:v>
      </x:c>
      <x:c r="E108" s="145" t="str">
        <x:v>主练二</x:v>
      </x:c>
      <x:c r="F108" s="145" t="n">
        <x:v>0</x:v>
      </x:c>
      <x:c r="G108" s="145" t="n">
        <x:v>0</x:v>
      </x:c>
      <x:c r="H108" s="145" t="n">
        <x:v>8</x:v>
      </x:c>
      <x:c r="I108" s="151" t="str">
        <x:v>字符串转换整数</x:v>
      </x:c>
      <x:c r="J108" s="151" t="str">
        <x:v>String to Integer atoi</x:v>
      </x:c>
      <x:c r="K108" s="145" t="str">
        <x:v>中等</x:v>
      </x:c>
      <x:c r="L108" s="145" t="str">
        <x:v>字符串</x:v>
      </x:c>
      <x:c r="M108" s="145" t="str">
        <x:v>字符串与模拟</x:v>
      </x:c>
      <x:c r="N108" s="165" t="str">
        <x:v>状态解析与溢出处理</x:v>
      </x:c>
      <x:c r="O108" s="165" t="str">
        <x:v>Grind 75核心</x:v>
      </x:c>
      <x:c r="P108" s="171" t="n">
        <x:v>25</x:v>
      </x:c>
      <x:c r="Q108" s="151" t="str">
        <x:v>盲做并先口述暴力法与优化方向，到时停笔，完成后写复杂度、边界与可追问点</x:v>
      </x:c>
      <x:c r="R108" s="145" t="str">
        <x:v>未开始</x:v>
      </x:c>
      <x:c r="S108" s="145"/>
      <x:c r="T108" s="177"/>
      <x:c r="U108" s="145"/>
      <x:c r="V108" s="151"/>
      <x:c r="W108" s="112" t="str">
        <x:v>https://leetcode.com/problems/string-to-integer-atoi/</x:v>
      </x:c>
    </x:row>
    <x:row r="109" ht="34" customHeight="1">
      <x:c r="A109" s="99" t="n">
        <x:v>21</x:v>
      </x:c>
      <x:c r="B109" s="145" t="str">
        <x:v>阶段三 树图动态规划深化</x:v>
      </x:c>
      <x:c r="C109" s="145" t="n">
        <x:v>5</x:v>
      </x:c>
      <x:c r="D109" s="145" t="str">
        <x:v>长间隔复做</x:v>
      </x:c>
      <x:c r="E109" s="145" t="str">
        <x:v>长间隔复做</x:v>
      </x:c>
      <x:c r="F109" s="145" t="n">
        <x:v>20</x:v>
      </x:c>
      <x:c r="G109" s="145" t="n">
        <x:v>17</x:v>
      </x:c>
      <x:c r="H109" s="145" t="n">
        <x:v>125</x:v>
      </x:c>
      <x:c r="I109" s="151" t="str">
        <x:v>验证回文串</x:v>
      </x:c>
      <x:c r="J109" s="151" t="str">
        <x:v>Valid Palindrome</x:v>
      </x:c>
      <x:c r="K109" s="145" t="str">
        <x:v>简单</x:v>
      </x:c>
      <x:c r="L109" s="145" t="str">
        <x:v>双指针</x:v>
      </x:c>
      <x:c r="M109" s="145" t="str">
        <x:v>字符串与双指针</x:v>
      </x:c>
      <x:c r="N109" s="165" t="str">
        <x:v>对撞指针</x:v>
      </x:c>
      <x:c r="O109" s="165" t="str">
        <x:v>Grind 75核心</x:v>
      </x:c>
      <x:c r="P109" s="171" t="n">
        <x:v>10</x:v>
      </x:c>
      <x:c r="Q109" s="151" t="str">
        <x:v>严格限时独立完成，先说模式与不变量，再回答复杂度和替代方案</x:v>
      </x:c>
      <x:c r="R109" s="145" t="str">
        <x:v>未开始</x:v>
      </x:c>
      <x:c r="S109" s="145"/>
      <x:c r="T109" s="177"/>
      <x:c r="U109" s="145"/>
      <x:c r="V109" s="151"/>
      <x:c r="W109" s="112" t="str">
        <x:v>https://leetcode.com/problems/valid-palindrome/</x:v>
      </x:c>
    </x:row>
    <x:row r="110" ht="34" customHeight="1">
      <x:c r="A110" s="99" t="n">
        <x:v>22</x:v>
      </x:c>
      <x:c r="B110" s="145" t="str">
        <x:v>阶段三 树图动态规划深化</x:v>
      </x:c>
      <x:c r="C110" s="145" t="n">
        <x:v>1</x:v>
      </x:c>
      <x:c r="D110" s="145" t="str">
        <x:v>短间隔复做</x:v>
      </x:c>
      <x:c r="E110" s="145" t="str">
        <x:v>主动回忆热身</x:v>
      </x:c>
      <x:c r="F110" s="145" t="n">
        <x:v>2</x:v>
      </x:c>
      <x:c r="G110" s="145" t="n">
        <x:v>2</x:v>
      </x:c>
      <x:c r="H110" s="145" t="n">
        <x:v>75</x:v>
      </x:c>
      <x:c r="I110" s="151" t="str">
        <x:v>颜色分类</x:v>
      </x:c>
      <x:c r="J110" s="151" t="str">
        <x:v>Sort Colors</x:v>
      </x:c>
      <x:c r="K110" s="145" t="str">
        <x:v>中等</x:v>
      </x:c>
      <x:c r="L110" s="145" t="str">
        <x:v>双指针</x:v>
      </x:c>
      <x:c r="M110" s="145" t="str">
        <x:v>双指针</x:v>
      </x:c>
      <x:c r="N110" s="165" t="str">
        <x:v>荷兰国旗三指针</x:v>
      </x:c>
      <x:c r="O110" s="165" t="str">
        <x:v>Grind 75核心</x:v>
      </x:c>
      <x:c r="P110" s="171" t="n">
        <x:v>16</x:v>
      </x:c>
      <x:c r="Q110" s="151" t="str">
        <x:v>空白编辑器重写，禁止看旧代码，卡住五分钟后只看最小提示</x:v>
      </x:c>
      <x:c r="R110" s="145" t="str">
        <x:v>未开始</x:v>
      </x:c>
      <x:c r="S110" s="145"/>
      <x:c r="T110" s="177"/>
      <x:c r="U110" s="145"/>
      <x:c r="V110" s="151"/>
      <x:c r="W110" s="112" t="str">
        <x:v>https://leetcode.com/problems/sort-colors/</x:v>
      </x:c>
    </x:row>
    <x:row r="111" ht="34" customHeight="1">
      <x:c r="A111" s="99" t="n">
        <x:v>22</x:v>
      </x:c>
      <x:c r="B111" s="145" t="str">
        <x:v>阶段三 树图动态规划深化</x:v>
      </x:c>
      <x:c r="C111" s="145" t="n">
        <x:v>2</x:v>
      </x:c>
      <x:c r="D111" s="145" t="str">
        <x:v>新题</x:v>
      </x:c>
      <x:c r="E111" s="145" t="str">
        <x:v>主练一</x:v>
      </x:c>
      <x:c r="F111" s="145" t="n">
        <x:v>0</x:v>
      </x:c>
      <x:c r="G111" s="145" t="n">
        <x:v>0</x:v>
      </x:c>
      <x:c r="H111" s="145" t="n">
        <x:v>54</x:v>
      </x:c>
      <x:c r="I111" s="151" t="str">
        <x:v>螺旋矩阵</x:v>
      </x:c>
      <x:c r="J111" s="151" t="str">
        <x:v>Spiral Matrix</x:v>
      </x:c>
      <x:c r="K111" s="145" t="str">
        <x:v>中等</x:v>
      </x:c>
      <x:c r="L111" s="145" t="str">
        <x:v>矩阵</x:v>
      </x:c>
      <x:c r="M111" s="145" t="str">
        <x:v>矩阵与模拟</x:v>
      </x:c>
      <x:c r="N111" s="165" t="str">
        <x:v>边界收缩模拟</x:v>
      </x:c>
      <x:c r="O111" s="165" t="str">
        <x:v>Grind 75核心</x:v>
      </x:c>
      <x:c r="P111" s="171" t="n">
        <x:v>25</x:v>
      </x:c>
      <x:c r="Q111" s="151" t="str">
        <x:v>盲做并先口述暴力法与优化方向，到时停笔，完成后写复杂度、边界与可追问点</x:v>
      </x:c>
      <x:c r="R111" s="145" t="str">
        <x:v>未开始</x:v>
      </x:c>
      <x:c r="S111" s="145"/>
      <x:c r="T111" s="177"/>
      <x:c r="U111" s="145"/>
      <x:c r="V111" s="151"/>
      <x:c r="W111" s="112" t="str">
        <x:v>https://leetcode.com/problems/spiral-matrix/</x:v>
      </x:c>
    </x:row>
    <x:row r="112" ht="34" customHeight="1">
      <x:c r="A112" s="99" t="n">
        <x:v>22</x:v>
      </x:c>
      <x:c r="B112" s="145" t="str">
        <x:v>阶段三 树图动态规划深化</x:v>
      </x:c>
      <x:c r="C112" s="145" t="n">
        <x:v>3</x:v>
      </x:c>
      <x:c r="D112" s="145" t="str">
        <x:v>短间隔复做</x:v>
      </x:c>
      <x:c r="E112" s="145" t="str">
        <x:v>交错复盘</x:v>
      </x:c>
      <x:c r="F112" s="145" t="n">
        <x:v>2</x:v>
      </x:c>
      <x:c r="G112" s="145" t="n">
        <x:v>2</x:v>
      </x:c>
      <x:c r="H112" s="145" t="n">
        <x:v>139</x:v>
      </x:c>
      <x:c r="I112" s="151" t="str">
        <x:v>单词拆分</x:v>
      </x:c>
      <x:c r="J112" s="151" t="str">
        <x:v>Word Break</x:v>
      </x:c>
      <x:c r="K112" s="145" t="str">
        <x:v>中等</x:v>
      </x:c>
      <x:c r="L112" s="145" t="str">
        <x:v>动态规划</x:v>
      </x:c>
      <x:c r="M112" s="145" t="str">
        <x:v>动态规划</x:v>
      </x:c>
      <x:c r="N112" s="165" t="str">
        <x:v>字符串划分状态转移</x:v>
      </x:c>
      <x:c r="O112" s="165" t="str">
        <x:v>Grind 75核心</x:v>
      </x:c>
      <x:c r="P112" s="171" t="n">
        <x:v>20</x:v>
      </x:c>
      <x:c r="Q112" s="151" t="str">
        <x:v>空白编辑器重写，禁止看旧代码，卡住五分钟后只看最小提示</x:v>
      </x:c>
      <x:c r="R112" s="145" t="str">
        <x:v>未开始</x:v>
      </x:c>
      <x:c r="S112" s="145"/>
      <x:c r="T112" s="177"/>
      <x:c r="U112" s="145"/>
      <x:c r="V112" s="151"/>
      <x:c r="W112" s="112" t="str">
        <x:v>https://leetcode.com/problems/word-break/</x:v>
      </x:c>
    </x:row>
    <x:row r="113" ht="34" customHeight="1">
      <x:c r="A113" s="99" t="n">
        <x:v>22</x:v>
      </x:c>
      <x:c r="B113" s="145" t="str">
        <x:v>阶段三 树图动态规划深化</x:v>
      </x:c>
      <x:c r="C113" s="145" t="n">
        <x:v>4</x:v>
      </x:c>
      <x:c r="D113" s="145" t="str">
        <x:v>新题</x:v>
      </x:c>
      <x:c r="E113" s="145" t="str">
        <x:v>主练二</x:v>
      </x:c>
      <x:c r="F113" s="145" t="n">
        <x:v>0</x:v>
      </x:c>
      <x:c r="G113" s="145" t="n">
        <x:v>0</x:v>
      </x:c>
      <x:c r="H113" s="145" t="n">
        <x:v>78</x:v>
      </x:c>
      <x:c r="I113" s="151" t="str">
        <x:v>子集</x:v>
      </x:c>
      <x:c r="J113" s="151" t="str">
        <x:v>Subsets</x:v>
      </x:c>
      <x:c r="K113" s="145" t="str">
        <x:v>中等</x:v>
      </x:c>
      <x:c r="L113" s="145" t="str">
        <x:v>回溯</x:v>
      </x:c>
      <x:c r="M113" s="145" t="str">
        <x:v>回溯</x:v>
      </x:c>
      <x:c r="N113" s="165" t="str">
        <x:v>子集型搜索</x:v>
      </x:c>
      <x:c r="O113" s="165" t="str">
        <x:v>Grind 75核心</x:v>
      </x:c>
      <x:c r="P113" s="171" t="n">
        <x:v>30</x:v>
      </x:c>
      <x:c r="Q113" s="151" t="str">
        <x:v>盲做并先口述暴力法与优化方向，到时停笔，完成后写复杂度、边界与可追问点</x:v>
      </x:c>
      <x:c r="R113" s="145" t="str">
        <x:v>未开始</x:v>
      </x:c>
      <x:c r="S113" s="145"/>
      <x:c r="T113" s="177"/>
      <x:c r="U113" s="145"/>
      <x:c r="V113" s="151"/>
      <x:c r="W113" s="112" t="str">
        <x:v>https://leetcode.com/problems/subsets/</x:v>
      </x:c>
    </x:row>
    <x:row r="114" ht="34" customHeight="1">
      <x:c r="A114" s="99" t="n">
        <x:v>22</x:v>
      </x:c>
      <x:c r="B114" s="145" t="str">
        <x:v>阶段三 树图动态规划深化</x:v>
      </x:c>
      <x:c r="C114" s="145" t="n">
        <x:v>5</x:v>
      </x:c>
      <x:c r="D114" s="145" t="str">
        <x:v>长间隔复做</x:v>
      </x:c>
      <x:c r="E114" s="145" t="str">
        <x:v>长间隔复做</x:v>
      </x:c>
      <x:c r="F114" s="145" t="n">
        <x:v>20</x:v>
      </x:c>
      <x:c r="G114" s="145" t="n">
        <x:v>18</x:v>
      </x:c>
      <x:c r="H114" s="145" t="n">
        <x:v>226</x:v>
      </x:c>
      <x:c r="I114" s="151" t="str">
        <x:v>翻转二叉树</x:v>
      </x:c>
      <x:c r="J114" s="151" t="str">
        <x:v>Invert Binary Tree</x:v>
      </x:c>
      <x:c r="K114" s="145" t="str">
        <x:v>简单</x:v>
      </x:c>
      <x:c r="L114" s="145" t="str">
        <x:v>树与递归</x:v>
      </x:c>
      <x:c r="M114" s="145" t="str">
        <x:v>二叉树</x:v>
      </x:c>
      <x:c r="N114" s="165" t="str">
        <x:v>递归遍历</x:v>
      </x:c>
      <x:c r="O114" s="165" t="str">
        <x:v>Grind 75核心</x:v>
      </x:c>
      <x:c r="P114" s="171" t="n">
        <x:v>10</x:v>
      </x:c>
      <x:c r="Q114" s="151" t="str">
        <x:v>严格限时独立完成，先说模式与不变量，再回答复杂度和替代方案</x:v>
      </x:c>
      <x:c r="R114" s="145" t="str">
        <x:v>未开始</x:v>
      </x:c>
      <x:c r="S114" s="145"/>
      <x:c r="T114" s="177"/>
      <x:c r="U114" s="145"/>
      <x:c r="V114" s="151"/>
      <x:c r="W114" s="112" t="str">
        <x:v>https://leetcode.com/problems/invert-binary-tree/</x:v>
      </x:c>
    </x:row>
    <x:row r="115" ht="34" customHeight="1">
      <x:c r="A115" s="99" t="n">
        <x:v>23</x:v>
      </x:c>
      <x:c r="B115" s="145" t="str">
        <x:v>阶段三 树图动态规划深化</x:v>
      </x:c>
      <x:c r="C115" s="145" t="n">
        <x:v>1</x:v>
      </x:c>
      <x:c r="D115" s="145" t="str">
        <x:v>短间隔复做</x:v>
      </x:c>
      <x:c r="E115" s="145" t="str">
        <x:v>主动回忆热身</x:v>
      </x:c>
      <x:c r="F115" s="145" t="n">
        <x:v>2</x:v>
      </x:c>
      <x:c r="G115" s="145" t="n">
        <x:v>2</x:v>
      </x:c>
      <x:c r="H115" s="145" t="n">
        <x:v>416</x:v>
      </x:c>
      <x:c r="I115" s="151" t="str">
        <x:v>分割等和子集</x:v>
      </x:c>
      <x:c r="J115" s="151" t="str">
        <x:v>Partition Equal Subset Sum</x:v>
      </x:c>
      <x:c r="K115" s="145" t="str">
        <x:v>中等</x:v>
      </x:c>
      <x:c r="L115" s="145" t="str">
        <x:v>动态规划</x:v>
      </x:c>
      <x:c r="M115" s="145" t="str">
        <x:v>动态规划</x:v>
      </x:c>
      <x:c r="N115" s="165" t="str">
        <x:v>零一背包可行性</x:v>
      </x:c>
      <x:c r="O115" s="165" t="str">
        <x:v>Grind 75核心</x:v>
      </x:c>
      <x:c r="P115" s="171" t="n">
        <x:v>20</x:v>
      </x:c>
      <x:c r="Q115" s="151" t="str">
        <x:v>空白编辑器重写，禁止看旧代码，卡住五分钟后只看最小提示</x:v>
      </x:c>
      <x:c r="R115" s="145" t="str">
        <x:v>未开始</x:v>
      </x:c>
      <x:c r="S115" s="145"/>
      <x:c r="T115" s="177"/>
      <x:c r="U115" s="145"/>
      <x:c r="V115" s="151"/>
      <x:c r="W115" s="112" t="str">
        <x:v>https://leetcode.com/problems/partition-equal-subset-sum/</x:v>
      </x:c>
    </x:row>
    <x:row r="116" ht="34" customHeight="1">
      <x:c r="A116" s="99" t="n">
        <x:v>23</x:v>
      </x:c>
      <x:c r="B116" s="145" t="str">
        <x:v>阶段三 树图动态规划深化</x:v>
      </x:c>
      <x:c r="C116" s="145" t="n">
        <x:v>2</x:v>
      </x:c>
      <x:c r="D116" s="145" t="str">
        <x:v>新题</x:v>
      </x:c>
      <x:c r="E116" s="145" t="str">
        <x:v>主练一</x:v>
      </x:c>
      <x:c r="F116" s="145" t="n">
        <x:v>0</x:v>
      </x:c>
      <x:c r="G116" s="145" t="n">
        <x:v>0</x:v>
      </x:c>
      <x:c r="H116" s="145" t="n">
        <x:v>199</x:v>
      </x:c>
      <x:c r="I116" s="151" t="str">
        <x:v>二叉树的右视图</x:v>
      </x:c>
      <x:c r="J116" s="151" t="str">
        <x:v>Binary Tree Right Side View</x:v>
      </x:c>
      <x:c r="K116" s="145" t="str">
        <x:v>中等</x:v>
      </x:c>
      <x:c r="L116" s="145" t="str">
        <x:v>树与递归</x:v>
      </x:c>
      <x:c r="M116" s="145" t="str">
        <x:v>二叉树</x:v>
      </x:c>
      <x:c r="N116" s="165" t="str">
        <x:v>层序遍历或右优先深搜</x:v>
      </x:c>
      <x:c r="O116" s="165" t="str">
        <x:v>Grind 75核心</x:v>
      </x:c>
      <x:c r="P116" s="171" t="n">
        <x:v>20</x:v>
      </x:c>
      <x:c r="Q116" s="151" t="str">
        <x:v>盲做并先口述暴力法与优化方向，到时停笔，完成后写复杂度、边界与可追问点</x:v>
      </x:c>
      <x:c r="R116" s="145" t="str">
        <x:v>未开始</x:v>
      </x:c>
      <x:c r="S116" s="145"/>
      <x:c r="T116" s="177"/>
      <x:c r="U116" s="145"/>
      <x:c r="V116" s="151"/>
      <x:c r="W116" s="112" t="str">
        <x:v>https://leetcode.com/problems/binary-tree-right-side-view/</x:v>
      </x:c>
    </x:row>
    <x:row r="117" ht="34" customHeight="1">
      <x:c r="A117" s="99" t="n">
        <x:v>23</x:v>
      </x:c>
      <x:c r="B117" s="145" t="str">
        <x:v>阶段三 树图动态规划深化</x:v>
      </x:c>
      <x:c r="C117" s="145" t="n">
        <x:v>3</x:v>
      </x:c>
      <x:c r="D117" s="145" t="str">
        <x:v>长间隔复做</x:v>
      </x:c>
      <x:c r="E117" s="145" t="str">
        <x:v>交错复盘</x:v>
      </x:c>
      <x:c r="F117" s="145" t="n">
        <x:v>21</x:v>
      </x:c>
      <x:c r="G117" s="145" t="n">
        <x:v>17</x:v>
      </x:c>
      <x:c r="H117" s="145" t="n">
        <x:v>242</x:v>
      </x:c>
      <x:c r="I117" s="151" t="str">
        <x:v>有效的字母异位词</x:v>
      </x:c>
      <x:c r="J117" s="151" t="str">
        <x:v>Valid Anagram</x:v>
      </x:c>
      <x:c r="K117" s="145" t="str">
        <x:v>简单</x:v>
      </x:c>
      <x:c r="L117" s="145" t="str">
        <x:v>数组与哈希</x:v>
      </x:c>
      <x:c r="M117" s="145" t="str">
        <x:v>数组与哈希</x:v>
      </x:c>
      <x:c r="N117" s="165" t="str">
        <x:v>字符频次计数</x:v>
      </x:c>
      <x:c r="O117" s="165" t="str">
        <x:v>Grind 75核心</x:v>
      </x:c>
      <x:c r="P117" s="171" t="n">
        <x:v>10</x:v>
      </x:c>
      <x:c r="Q117" s="151" t="str">
        <x:v>严格限时独立完成，先说模式与不变量，再回答复杂度和替代方案</x:v>
      </x:c>
      <x:c r="R117" s="145" t="str">
        <x:v>未开始</x:v>
      </x:c>
      <x:c r="S117" s="145"/>
      <x:c r="T117" s="177"/>
      <x:c r="U117" s="145"/>
      <x:c r="V117" s="151"/>
      <x:c r="W117" s="112" t="str">
        <x:v>https://leetcode.com/problems/valid-anagram/</x:v>
      </x:c>
    </x:row>
    <x:row r="118" ht="34" customHeight="1">
      <x:c r="A118" s="99" t="n">
        <x:v>23</x:v>
      </x:c>
      <x:c r="B118" s="145" t="str">
        <x:v>阶段三 树图动态规划深化</x:v>
      </x:c>
      <x:c r="C118" s="145" t="n">
        <x:v>4</x:v>
      </x:c>
      <x:c r="D118" s="145" t="str">
        <x:v>新题</x:v>
      </x:c>
      <x:c r="E118" s="145" t="str">
        <x:v>主练二</x:v>
      </x:c>
      <x:c r="F118" s="145" t="n">
        <x:v>0</x:v>
      </x:c>
      <x:c r="G118" s="145" t="n">
        <x:v>0</x:v>
      </x:c>
      <x:c r="H118" s="145" t="n">
        <x:v>5</x:v>
      </x:c>
      <x:c r="I118" s="151" t="str">
        <x:v>最长回文子串</x:v>
      </x:c>
      <x:c r="J118" s="151" t="str">
        <x:v>Longest Palindromic Substring</x:v>
      </x:c>
      <x:c r="K118" s="145" t="str">
        <x:v>中等</x:v>
      </x:c>
      <x:c r="L118" s="145" t="str">
        <x:v>动态规划</x:v>
      </x:c>
      <x:c r="M118" s="145" t="str">
        <x:v>字符串与动态规划</x:v>
      </x:c>
      <x:c r="N118" s="165" t="str">
        <x:v>中心扩展</x:v>
      </x:c>
      <x:c r="O118" s="165" t="str">
        <x:v>Grind 75核心</x:v>
      </x:c>
      <x:c r="P118" s="171" t="n">
        <x:v>25</x:v>
      </x:c>
      <x:c r="Q118" s="151" t="str">
        <x:v>盲做并先口述暴力法与优化方向，到时停笔，完成后写复杂度、边界与可追问点</x:v>
      </x:c>
      <x:c r="R118" s="145" t="str">
        <x:v>未开始</x:v>
      </x:c>
      <x:c r="S118" s="145"/>
      <x:c r="T118" s="177"/>
      <x:c r="U118" s="145"/>
      <x:c r="V118" s="151"/>
      <x:c r="W118" s="112" t="str">
        <x:v>https://leetcode.com/problems/longest-palindromic-substring/</x:v>
      </x:c>
    </x:row>
    <x:row r="119" ht="34" customHeight="1">
      <x:c r="A119" s="99" t="n">
        <x:v>23</x:v>
      </x:c>
      <x:c r="B119" s="145" t="str">
        <x:v>阶段三 树图动态规划深化</x:v>
      </x:c>
      <x:c r="C119" s="145" t="n">
        <x:v>5</x:v>
      </x:c>
      <x:c r="D119" s="145" t="str">
        <x:v>长间隔复做</x:v>
      </x:c>
      <x:c r="E119" s="145" t="str">
        <x:v>长间隔复做</x:v>
      </x:c>
      <x:c r="F119" s="145" t="n">
        <x:v>21</x:v>
      </x:c>
      <x:c r="G119" s="145" t="n">
        <x:v>18</x:v>
      </x:c>
      <x:c r="H119" s="145" t="n">
        <x:v>704</x:v>
      </x:c>
      <x:c r="I119" s="151" t="str">
        <x:v>二分查找</x:v>
      </x:c>
      <x:c r="J119" s="151" t="str">
        <x:v>Binary Search</x:v>
      </x:c>
      <x:c r="K119" s="145" t="str">
        <x:v>简单</x:v>
      </x:c>
      <x:c r="L119" s="145" t="str">
        <x:v>二分查找</x:v>
      </x:c>
      <x:c r="M119" s="145" t="str">
        <x:v>二分查找</x:v>
      </x:c>
      <x:c r="N119" s="165" t="str">
        <x:v>区间定义与循环不变量</x:v>
      </x:c>
      <x:c r="O119" s="165" t="str">
        <x:v>Grind 75核心</x:v>
      </x:c>
      <x:c r="P119" s="171" t="n">
        <x:v>10</x:v>
      </x:c>
      <x:c r="Q119" s="151" t="str">
        <x:v>严格限时独立完成，先说模式与不变量，再回答复杂度和替代方案</x:v>
      </x:c>
      <x:c r="R119" s="145" t="str">
        <x:v>未开始</x:v>
      </x:c>
      <x:c r="S119" s="145"/>
      <x:c r="T119" s="177"/>
      <x:c r="U119" s="145"/>
      <x:c r="V119" s="151"/>
      <x:c r="W119" s="112" t="str">
        <x:v>https://leetcode.com/problems/binary-search/</x:v>
      </x:c>
    </x:row>
    <x:row r="120" ht="34" customHeight="1">
      <x:c r="A120" s="99" t="n">
        <x:v>24</x:v>
      </x:c>
      <x:c r="B120" s="145" t="str">
        <x:v>阶段三 树图动态规划深化</x:v>
      </x:c>
      <x:c r="C120" s="145" t="n">
        <x:v>1</x:v>
      </x:c>
      <x:c r="D120" s="145" t="str">
        <x:v>短间隔复做</x:v>
      </x:c>
      <x:c r="E120" s="145" t="str">
        <x:v>主动回忆热身</x:v>
      </x:c>
      <x:c r="F120" s="145" t="n">
        <x:v>3</x:v>
      </x:c>
      <x:c r="G120" s="145" t="n">
        <x:v>3</x:v>
      </x:c>
      <x:c r="H120" s="145" t="n">
        <x:v>8</x:v>
      </x:c>
      <x:c r="I120" s="151" t="str">
        <x:v>字符串转换整数</x:v>
      </x:c>
      <x:c r="J120" s="151" t="str">
        <x:v>String to Integer atoi</x:v>
      </x:c>
      <x:c r="K120" s="145" t="str">
        <x:v>中等</x:v>
      </x:c>
      <x:c r="L120" s="145" t="str">
        <x:v>字符串</x:v>
      </x:c>
      <x:c r="M120" s="145" t="str">
        <x:v>字符串与模拟</x:v>
      </x:c>
      <x:c r="N120" s="165" t="str">
        <x:v>状态解析与溢出处理</x:v>
      </x:c>
      <x:c r="O120" s="165" t="str">
        <x:v>Grind 75核心</x:v>
      </x:c>
      <x:c r="P120" s="171" t="n">
        <x:v>16</x:v>
      </x:c>
      <x:c r="Q120" s="151" t="str">
        <x:v>空白编辑器重写，禁止看旧代码，卡住五分钟后只看最小提示</x:v>
      </x:c>
      <x:c r="R120" s="145" t="str">
        <x:v>未开始</x:v>
      </x:c>
      <x:c r="S120" s="145"/>
      <x:c r="T120" s="177"/>
      <x:c r="U120" s="145"/>
      <x:c r="V120" s="151"/>
      <x:c r="W120" s="112" t="str">
        <x:v>https://leetcode.com/problems/string-to-integer-atoi/</x:v>
      </x:c>
    </x:row>
    <x:row r="121" ht="34" customHeight="1">
      <x:c r="A121" s="99" t="n">
        <x:v>24</x:v>
      </x:c>
      <x:c r="B121" s="145" t="str">
        <x:v>阶段三 树图动态规划深化</x:v>
      </x:c>
      <x:c r="C121" s="145" t="n">
        <x:v>2</x:v>
      </x:c>
      <x:c r="D121" s="145" t="str">
        <x:v>新题</x:v>
      </x:c>
      <x:c r="E121" s="145" t="str">
        <x:v>主练一</x:v>
      </x:c>
      <x:c r="F121" s="145" t="n">
        <x:v>0</x:v>
      </x:c>
      <x:c r="G121" s="145" t="n">
        <x:v>0</x:v>
      </x:c>
      <x:c r="H121" s="145" t="n">
        <x:v>62</x:v>
      </x:c>
      <x:c r="I121" s="151" t="str">
        <x:v>不同路径</x:v>
      </x:c>
      <x:c r="J121" s="151" t="str">
        <x:v>Unique Paths</x:v>
      </x:c>
      <x:c r="K121" s="145" t="str">
        <x:v>中等</x:v>
      </x:c>
      <x:c r="L121" s="145" t="str">
        <x:v>动态规划</x:v>
      </x:c>
      <x:c r="M121" s="145" t="str">
        <x:v>动态规划</x:v>
      </x:c>
      <x:c r="N121" s="165" t="str">
        <x:v>网格状态转移</x:v>
      </x:c>
      <x:c r="O121" s="165" t="str">
        <x:v>Grind 75核心</x:v>
      </x:c>
      <x:c r="P121" s="171" t="n">
        <x:v>20</x:v>
      </x:c>
      <x:c r="Q121" s="151" t="str">
        <x:v>盲做并先口述暴力法与优化方向，到时停笔，完成后写复杂度、边界与可追问点</x:v>
      </x:c>
      <x:c r="R121" s="145" t="str">
        <x:v>未开始</x:v>
      </x:c>
      <x:c r="S121" s="145"/>
      <x:c r="T121" s="177"/>
      <x:c r="U121" s="145"/>
      <x:c r="V121" s="151"/>
      <x:c r="W121" s="112" t="str">
        <x:v>https://leetcode.com/problems/unique-paths/</x:v>
      </x:c>
    </x:row>
    <x:row r="122" ht="34" customHeight="1">
      <x:c r="A122" s="99" t="n">
        <x:v>24</x:v>
      </x:c>
      <x:c r="B122" s="145" t="str">
        <x:v>阶段三 树图动态规划深化</x:v>
      </x:c>
      <x:c r="C122" s="145" t="n">
        <x:v>3</x:v>
      </x:c>
      <x:c r="D122" s="145" t="str">
        <x:v>长间隔复做</x:v>
      </x:c>
      <x:c r="E122" s="145" t="str">
        <x:v>交错复盘</x:v>
      </x:c>
      <x:c r="F122" s="145" t="n">
        <x:v>21</x:v>
      </x:c>
      <x:c r="G122" s="145" t="n">
        <x:v>18</x:v>
      </x:c>
      <x:c r="H122" s="145" t="n">
        <x:v>235</x:v>
      </x:c>
      <x:c r="I122" s="151" t="str">
        <x:v>二叉搜索树的最近公共祖先</x:v>
      </x:c>
      <x:c r="J122" s="151" t="str">
        <x:v>Lowest Common Ancestor of a Binary Search Tree</x:v>
      </x:c>
      <x:c r="K122" s="145" t="str">
        <x:v>中等</x:v>
      </x:c>
      <x:c r="L122" s="145" t="str">
        <x:v>树与递归</x:v>
      </x:c>
      <x:c r="M122" s="145" t="str">
        <x:v>二叉搜索树</x:v>
      </x:c>
      <x:c r="N122" s="165" t="str">
        <x:v>利用有序性质缩小范围</x:v>
      </x:c>
      <x:c r="O122" s="165" t="str">
        <x:v>Grind 75核心</x:v>
      </x:c>
      <x:c r="P122" s="171" t="n">
        <x:v>10</x:v>
      </x:c>
      <x:c r="Q122" s="151" t="str">
        <x:v>严格限时独立完成，先说模式与不变量，再回答复杂度和替代方案</x:v>
      </x:c>
      <x:c r="R122" s="145" t="str">
        <x:v>未开始</x:v>
      </x:c>
      <x:c r="S122" s="145"/>
      <x:c r="T122" s="177"/>
      <x:c r="U122" s="145"/>
      <x:c r="V122" s="151"/>
      <x:c r="W122" s="112" t="str">
        <x:v>https://leetcode.com/problems/lowest-common-ancestor-of-a-binary-search-tree/</x:v>
      </x:c>
    </x:row>
    <x:row r="123" ht="34" customHeight="1">
      <x:c r="A123" s="99" t="n">
        <x:v>24</x:v>
      </x:c>
      <x:c r="B123" s="145" t="str">
        <x:v>阶段三 树图动态规划深化</x:v>
      </x:c>
      <x:c r="C123" s="145" t="n">
        <x:v>4</x:v>
      </x:c>
      <x:c r="D123" s="145" t="str">
        <x:v>新题</x:v>
      </x:c>
      <x:c r="E123" s="145" t="str">
        <x:v>主练二</x:v>
      </x:c>
      <x:c r="F123" s="145" t="n">
        <x:v>0</x:v>
      </x:c>
      <x:c r="G123" s="145" t="n">
        <x:v>0</x:v>
      </x:c>
      <x:c r="H123" s="145" t="n">
        <x:v>105</x:v>
      </x:c>
      <x:c r="I123" s="151" t="str">
        <x:v>从前序与中序遍历序列构造二叉树</x:v>
      </x:c>
      <x:c r="J123" s="151" t="str">
        <x:v>Construct Binary Tree from Preorder and Inorder Traversal</x:v>
      </x:c>
      <x:c r="K123" s="145" t="str">
        <x:v>中等</x:v>
      </x:c>
      <x:c r="L123" s="145" t="str">
        <x:v>树与递归</x:v>
      </x:c>
      <x:c r="M123" s="145" t="str">
        <x:v>二叉树</x:v>
      </x:c>
      <x:c r="N123" s="165" t="str">
        <x:v>分治与索引映射</x:v>
      </x:c>
      <x:c r="O123" s="165" t="str">
        <x:v>Grind 75核心</x:v>
      </x:c>
      <x:c r="P123" s="171" t="n">
        <x:v>25</x:v>
      </x:c>
      <x:c r="Q123" s="151" t="str">
        <x:v>盲做并先口述暴力法与优化方向，到时停笔，完成后写复杂度、边界与可追问点</x:v>
      </x:c>
      <x:c r="R123" s="145" t="str">
        <x:v>未开始</x:v>
      </x:c>
      <x:c r="S123" s="145"/>
      <x:c r="T123" s="177"/>
      <x:c r="U123" s="145"/>
      <x:c r="V123" s="151"/>
      <x:c r="W123" s="112" t="str">
        <x:v>https://leetcode.com/problems/construct-binary-tree-from-preorder-and-inorder-traversal/</x:v>
      </x:c>
    </x:row>
    <x:row r="124" ht="34" customHeight="1">
      <x:c r="A124" s="99" t="n">
        <x:v>24</x:v>
      </x:c>
      <x:c r="B124" s="145" t="str">
        <x:v>阶段三 树图动态规划深化</x:v>
      </x:c>
      <x:c r="C124" s="145" t="n">
        <x:v>5</x:v>
      </x:c>
      <x:c r="D124" s="145" t="str">
        <x:v>长间隔复做</x:v>
      </x:c>
      <x:c r="E124" s="145" t="str">
        <x:v>长间隔复做</x:v>
      </x:c>
      <x:c r="F124" s="145" t="n">
        <x:v>21</x:v>
      </x:c>
      <x:c r="G124" s="145" t="n">
        <x:v>19</x:v>
      </x:c>
      <x:c r="H124" s="145" t="n">
        <x:v>733</x:v>
      </x:c>
      <x:c r="I124" s="151" t="str">
        <x:v>图像渲染</x:v>
      </x:c>
      <x:c r="J124" s="151" t="str">
        <x:v>Flood Fill</x:v>
      </x:c>
      <x:c r="K124" s="145" t="str">
        <x:v>简单</x:v>
      </x:c>
      <x:c r="L124" s="145" t="str">
        <x:v>图与并查集</x:v>
      </x:c>
      <x:c r="M124" s="145" t="str">
        <x:v>图论</x:v>
      </x:c>
      <x:c r="N124" s="165" t="str">
        <x:v>网格深搜或广搜</x:v>
      </x:c>
      <x:c r="O124" s="165" t="str">
        <x:v>Grind 75核心</x:v>
      </x:c>
      <x:c r="P124" s="171" t="n">
        <x:v>10</x:v>
      </x:c>
      <x:c r="Q124" s="151" t="str">
        <x:v>严格限时独立完成，先说模式与不变量，再回答复杂度和替代方案</x:v>
      </x:c>
      <x:c r="R124" s="145" t="str">
        <x:v>未开始</x:v>
      </x:c>
      <x:c r="S124" s="145"/>
      <x:c r="T124" s="177"/>
      <x:c r="U124" s="145"/>
      <x:c r="V124" s="151"/>
      <x:c r="W124" s="112" t="str">
        <x:v>https://leetcode.com/problems/flood-fill/</x:v>
      </x:c>
    </x:row>
    <x:row r="125" ht="34" customHeight="1">
      <x:c r="A125" s="99" t="n">
        <x:v>25</x:v>
      </x:c>
      <x:c r="B125" s="145" t="str">
        <x:v>阶段三 树图动态规划深化</x:v>
      </x:c>
      <x:c r="C125" s="145" t="n">
        <x:v>1</x:v>
      </x:c>
      <x:c r="D125" s="145" t="str">
        <x:v>短间隔复做</x:v>
      </x:c>
      <x:c r="E125" s="145" t="str">
        <x:v>主动回忆热身</x:v>
      </x:c>
      <x:c r="F125" s="145" t="n">
        <x:v>3</x:v>
      </x:c>
      <x:c r="G125" s="145" t="n">
        <x:v>3</x:v>
      </x:c>
      <x:c r="H125" s="145" t="n">
        <x:v>54</x:v>
      </x:c>
      <x:c r="I125" s="151" t="str">
        <x:v>螺旋矩阵</x:v>
      </x:c>
      <x:c r="J125" s="151" t="str">
        <x:v>Spiral Matrix</x:v>
      </x:c>
      <x:c r="K125" s="145" t="str">
        <x:v>中等</x:v>
      </x:c>
      <x:c r="L125" s="145" t="str">
        <x:v>矩阵</x:v>
      </x:c>
      <x:c r="M125" s="145" t="str">
        <x:v>矩阵与模拟</x:v>
      </x:c>
      <x:c r="N125" s="165" t="str">
        <x:v>边界收缩模拟</x:v>
      </x:c>
      <x:c r="O125" s="165" t="str">
        <x:v>Grind 75核心</x:v>
      </x:c>
      <x:c r="P125" s="171" t="n">
        <x:v>16</x:v>
      </x:c>
      <x:c r="Q125" s="151" t="str">
        <x:v>空白编辑器重写，禁止看旧代码，卡住五分钟后只看最小提示</x:v>
      </x:c>
      <x:c r="R125" s="145" t="str">
        <x:v>未开始</x:v>
      </x:c>
      <x:c r="S125" s="145"/>
      <x:c r="T125" s="177"/>
      <x:c r="U125" s="145"/>
      <x:c r="V125" s="151"/>
      <x:c r="W125" s="112" t="str">
        <x:v>https://leetcode.com/problems/spiral-matrix/</x:v>
      </x:c>
    </x:row>
    <x:row r="126" ht="34" customHeight="1">
      <x:c r="A126" s="99" t="n">
        <x:v>25</x:v>
      </x:c>
      <x:c r="B126" s="145" t="str">
        <x:v>阶段三 树图动态规划深化</x:v>
      </x:c>
      <x:c r="C126" s="145" t="n">
        <x:v>2</x:v>
      </x:c>
      <x:c r="D126" s="145" t="str">
        <x:v>新题</x:v>
      </x:c>
      <x:c r="E126" s="145" t="str">
        <x:v>主练一</x:v>
      </x:c>
      <x:c r="F126" s="145" t="n">
        <x:v>0</x:v>
      </x:c>
      <x:c r="G126" s="145" t="n">
        <x:v>0</x:v>
      </x:c>
      <x:c r="H126" s="145" t="n">
        <x:v>11</x:v>
      </x:c>
      <x:c r="I126" s="151" t="str">
        <x:v>盛最多水的容器</x:v>
      </x:c>
      <x:c r="J126" s="151" t="str">
        <x:v>Container With Most Water</x:v>
      </x:c>
      <x:c r="K126" s="145" t="str">
        <x:v>中等</x:v>
      </x:c>
      <x:c r="L126" s="145" t="str">
        <x:v>双指针</x:v>
      </x:c>
      <x:c r="M126" s="145" t="str">
        <x:v>双指针</x:v>
      </x:c>
      <x:c r="N126" s="165" t="str">
        <x:v>对撞指针与单调决策</x:v>
      </x:c>
      <x:c r="O126" s="165" t="str">
        <x:v>Grind 75核心</x:v>
      </x:c>
      <x:c r="P126" s="171" t="n">
        <x:v>35</x:v>
      </x:c>
      <x:c r="Q126" s="151" t="str">
        <x:v>盲做并先口述暴力法与优化方向，到时停笔，完成后写复杂度、边界与可追问点</x:v>
      </x:c>
      <x:c r="R126" s="145" t="str">
        <x:v>未开始</x:v>
      </x:c>
      <x:c r="S126" s="145"/>
      <x:c r="T126" s="177"/>
      <x:c r="U126" s="145"/>
      <x:c r="V126" s="151"/>
      <x:c r="W126" s="112" t="str">
        <x:v>https://leetcode.com/problems/container-with-most-water/</x:v>
      </x:c>
    </x:row>
    <x:row r="127" ht="34" customHeight="1">
      <x:c r="A127" s="99" t="n">
        <x:v>25</x:v>
      </x:c>
      <x:c r="B127" s="145" t="str">
        <x:v>阶段三 树图动态规划深化</x:v>
      </x:c>
      <x:c r="C127" s="145" t="n">
        <x:v>3</x:v>
      </x:c>
      <x:c r="D127" s="145" t="str">
        <x:v>长间隔复做</x:v>
      </x:c>
      <x:c r="E127" s="145" t="str">
        <x:v>交错复盘</x:v>
      </x:c>
      <x:c r="F127" s="145" t="n">
        <x:v>22</x:v>
      </x:c>
      <x:c r="G127" s="145" t="n">
        <x:v>17</x:v>
      </x:c>
      <x:c r="H127" s="145" t="n">
        <x:v>110</x:v>
      </x:c>
      <x:c r="I127" s="151" t="str">
        <x:v>平衡二叉树</x:v>
      </x:c>
      <x:c r="J127" s="151" t="str">
        <x:v>Balanced Binary Tree</x:v>
      </x:c>
      <x:c r="K127" s="145" t="str">
        <x:v>简单</x:v>
      </x:c>
      <x:c r="L127" s="145" t="str">
        <x:v>树与递归</x:v>
      </x:c>
      <x:c r="M127" s="145" t="str">
        <x:v>二叉树</x:v>
      </x:c>
      <x:c r="N127" s="165" t="str">
        <x:v>自底向上递归</x:v>
      </x:c>
      <x:c r="O127" s="165" t="str">
        <x:v>Grind 75核心</x:v>
      </x:c>
      <x:c r="P127" s="171" t="n">
        <x:v>10</x:v>
      </x:c>
      <x:c r="Q127" s="151" t="str">
        <x:v>严格限时独立完成，先说模式与不变量，再回答复杂度和替代方案</x:v>
      </x:c>
      <x:c r="R127" s="145" t="str">
        <x:v>未开始</x:v>
      </x:c>
      <x:c r="S127" s="145"/>
      <x:c r="T127" s="177"/>
      <x:c r="U127" s="145"/>
      <x:c r="V127" s="151"/>
      <x:c r="W127" s="112" t="str">
        <x:v>https://leetcode.com/problems/balanced-binary-tree/</x:v>
      </x:c>
    </x:row>
    <x:row r="128" ht="34" customHeight="1">
      <x:c r="A128" s="99" t="n">
        <x:v>25</x:v>
      </x:c>
      <x:c r="B128" s="145" t="str">
        <x:v>阶段三 树图动态规划深化</x:v>
      </x:c>
      <x:c r="C128" s="145" t="n">
        <x:v>4</x:v>
      </x:c>
      <x:c r="D128" s="145" t="str">
        <x:v>新题</x:v>
      </x:c>
      <x:c r="E128" s="145" t="str">
        <x:v>主练二</x:v>
      </x:c>
      <x:c r="F128" s="145" t="n">
        <x:v>0</x:v>
      </x:c>
      <x:c r="G128" s="145" t="n">
        <x:v>0</x:v>
      </x:c>
      <x:c r="H128" s="145" t="n">
        <x:v>17</x:v>
      </x:c>
      <x:c r="I128" s="151" t="str">
        <x:v>电话号码的字母组合</x:v>
      </x:c>
      <x:c r="J128" s="151" t="str">
        <x:v>Letter Combinations of a Phone Number</x:v>
      </x:c>
      <x:c r="K128" s="145" t="str">
        <x:v>中等</x:v>
      </x:c>
      <x:c r="L128" s="145" t="str">
        <x:v>回溯</x:v>
      </x:c>
      <x:c r="M128" s="145" t="str">
        <x:v>回溯</x:v>
      </x:c>
      <x:c r="N128" s="165" t="str">
        <x:v>多叉树组合搜索</x:v>
      </x:c>
      <x:c r="O128" s="165" t="str">
        <x:v>Grind 75核心</x:v>
      </x:c>
      <x:c r="P128" s="171" t="n">
        <x:v>30</x:v>
      </x:c>
      <x:c r="Q128" s="151" t="str">
        <x:v>盲做并先口述暴力法与优化方向，到时停笔，完成后写复杂度、边界与可追问点</x:v>
      </x:c>
      <x:c r="R128" s="145" t="str">
        <x:v>未开始</x:v>
      </x:c>
      <x:c r="S128" s="145"/>
      <x:c r="T128" s="177"/>
      <x:c r="U128" s="145"/>
      <x:c r="V128" s="151"/>
      <x:c r="W128" s="112" t="str">
        <x:v>https://leetcode.com/problems/letter-combinations-of-a-phone-number/</x:v>
      </x:c>
    </x:row>
    <x:row r="129" ht="34" customHeight="1">
      <x:c r="A129" s="99" t="n">
        <x:v>25</x:v>
      </x:c>
      <x:c r="B129" s="145" t="str">
        <x:v>阶段三 树图动态规划深化</x:v>
      </x:c>
      <x:c r="C129" s="145" t="n">
        <x:v>5</x:v>
      </x:c>
      <x:c r="D129" s="145" t="str">
        <x:v>长间隔复做</x:v>
      </x:c>
      <x:c r="E129" s="145" t="str">
        <x:v>长间隔复做</x:v>
      </x:c>
      <x:c r="F129" s="145" t="n">
        <x:v>21</x:v>
      </x:c>
      <x:c r="G129" s="145" t="n">
        <x:v>17</x:v>
      </x:c>
      <x:c r="H129" s="145" t="n">
        <x:v>141</x:v>
      </x:c>
      <x:c r="I129" s="151" t="str">
        <x:v>环形链表</x:v>
      </x:c>
      <x:c r="J129" s="151" t="str">
        <x:v>Linked List Cycle</x:v>
      </x:c>
      <x:c r="K129" s="145" t="str">
        <x:v>简单</x:v>
      </x:c>
      <x:c r="L129" s="145" t="str">
        <x:v>链表</x:v>
      </x:c>
      <x:c r="M129" s="145" t="str">
        <x:v>链表</x:v>
      </x:c>
      <x:c r="N129" s="165" t="str">
        <x:v>快慢指针</x:v>
      </x:c>
      <x:c r="O129" s="165" t="str">
        <x:v>Grind 75核心</x:v>
      </x:c>
      <x:c r="P129" s="171" t="n">
        <x:v>10</x:v>
      </x:c>
      <x:c r="Q129" s="151" t="str">
        <x:v>严格限时独立完成，先说模式与不变量，再回答复杂度和替代方案</x:v>
      </x:c>
      <x:c r="R129" s="145" t="str">
        <x:v>未开始</x:v>
      </x:c>
      <x:c r="S129" s="145"/>
      <x:c r="T129" s="177"/>
      <x:c r="U129" s="145"/>
      <x:c r="V129" s="151"/>
      <x:c r="W129" s="112" t="str">
        <x:v>https://leetcode.com/problems/linked-list-cycle/</x:v>
      </x:c>
    </x:row>
    <x:row r="130" ht="34" customHeight="1">
      <x:c r="A130" s="99" t="n">
        <x:v>26</x:v>
      </x:c>
      <x:c r="B130" s="145" t="str">
        <x:v>阶段三 树图动态规划深化</x:v>
      </x:c>
      <x:c r="C130" s="145" t="n">
        <x:v>1</x:v>
      </x:c>
      <x:c r="D130" s="145" t="str">
        <x:v>短间隔复做</x:v>
      </x:c>
      <x:c r="E130" s="145" t="str">
        <x:v>主动回忆热身</x:v>
      </x:c>
      <x:c r="F130" s="145" t="n">
        <x:v>4</x:v>
      </x:c>
      <x:c r="G130" s="145" t="n">
        <x:v>4</x:v>
      </x:c>
      <x:c r="H130" s="145" t="n">
        <x:v>78</x:v>
      </x:c>
      <x:c r="I130" s="151" t="str">
        <x:v>子集</x:v>
      </x:c>
      <x:c r="J130" s="151" t="str">
        <x:v>Subsets</x:v>
      </x:c>
      <x:c r="K130" s="145" t="str">
        <x:v>中等</x:v>
      </x:c>
      <x:c r="L130" s="145" t="str">
        <x:v>回溯</x:v>
      </x:c>
      <x:c r="M130" s="145" t="str">
        <x:v>回溯</x:v>
      </x:c>
      <x:c r="N130" s="165" t="str">
        <x:v>子集型搜索</x:v>
      </x:c>
      <x:c r="O130" s="165" t="str">
        <x:v>Grind 75核心</x:v>
      </x:c>
      <x:c r="P130" s="171" t="n">
        <x:v>20</x:v>
      </x:c>
      <x:c r="Q130" s="151" t="str">
        <x:v>空白编辑器重写，禁止看旧代码，卡住五分钟后只看最小提示</x:v>
      </x:c>
      <x:c r="R130" s="145" t="str">
        <x:v>未开始</x:v>
      </x:c>
      <x:c r="S130" s="145"/>
      <x:c r="T130" s="177"/>
      <x:c r="U130" s="145"/>
      <x:c r="V130" s="151"/>
      <x:c r="W130" s="112" t="str">
        <x:v>https://leetcode.com/problems/subsets/</x:v>
      </x:c>
    </x:row>
    <x:row r="131" ht="34" customHeight="1">
      <x:c r="A131" s="99" t="n">
        <x:v>26</x:v>
      </x:c>
      <x:c r="B131" s="145" t="str">
        <x:v>阶段三 树图动态规划深化</x:v>
      </x:c>
      <x:c r="C131" s="145" t="n">
        <x:v>2</x:v>
      </x:c>
      <x:c r="D131" s="145" t="str">
        <x:v>新题</x:v>
      </x:c>
      <x:c r="E131" s="145" t="str">
        <x:v>主练一</x:v>
      </x:c>
      <x:c r="F131" s="145" t="n">
        <x:v>0</x:v>
      </x:c>
      <x:c r="G131" s="145" t="n">
        <x:v>0</x:v>
      </x:c>
      <x:c r="H131" s="145" t="n">
        <x:v>79</x:v>
      </x:c>
      <x:c r="I131" s="151" t="str">
        <x:v>单词搜索</x:v>
      </x:c>
      <x:c r="J131" s="151" t="str">
        <x:v>Word Search</x:v>
      </x:c>
      <x:c r="K131" s="145" t="str">
        <x:v>中等</x:v>
      </x:c>
      <x:c r="L131" s="145" t="str">
        <x:v>图与并查集</x:v>
      </x:c>
      <x:c r="M131" s="145" t="str">
        <x:v>回溯与图论</x:v>
      </x:c>
      <x:c r="N131" s="165" t="str">
        <x:v>网格回溯</x:v>
      </x:c>
      <x:c r="O131" s="165" t="str">
        <x:v>Grind 75核心</x:v>
      </x:c>
      <x:c r="P131" s="171" t="n">
        <x:v>30</x:v>
      </x:c>
      <x:c r="Q131" s="151" t="str">
        <x:v>盲做并先口述暴力法与优化方向，到时停笔，完成后写复杂度、边界与可追问点</x:v>
      </x:c>
      <x:c r="R131" s="145" t="str">
        <x:v>未开始</x:v>
      </x:c>
      <x:c r="S131" s="145"/>
      <x:c r="T131" s="177"/>
      <x:c r="U131" s="145"/>
      <x:c r="V131" s="151"/>
      <x:c r="W131" s="112" t="str">
        <x:v>https://leetcode.com/problems/word-search/</x:v>
      </x:c>
    </x:row>
    <x:row r="132" ht="34" customHeight="1">
      <x:c r="A132" s="99" t="n">
        <x:v>26</x:v>
      </x:c>
      <x:c r="B132" s="145" t="str">
        <x:v>阶段三 树图动态规划深化</x:v>
      </x:c>
      <x:c r="C132" s="145" t="n">
        <x:v>3</x:v>
      </x:c>
      <x:c r="D132" s="145" t="str">
        <x:v>长间隔复做</x:v>
      </x:c>
      <x:c r="E132" s="145" t="str">
        <x:v>交错复盘</x:v>
      </x:c>
      <x:c r="F132" s="145" t="n">
        <x:v>22</x:v>
      </x:c>
      <x:c r="G132" s="145" t="n">
        <x:v>19</x:v>
      </x:c>
      <x:c r="H132" s="145" t="n">
        <x:v>232</x:v>
      </x:c>
      <x:c r="I132" s="151" t="str">
        <x:v>用栈实现队列</x:v>
      </x:c>
      <x:c r="J132" s="151" t="str">
        <x:v>Implement Queue using Stacks</x:v>
      </x:c>
      <x:c r="K132" s="145" t="str">
        <x:v>简单</x:v>
      </x:c>
      <x:c r="L132" s="145" t="str">
        <x:v>栈与队列</x:v>
      </x:c>
      <x:c r="M132" s="145" t="str">
        <x:v>栈与队列</x:v>
      </x:c>
      <x:c r="N132" s="165" t="str">
        <x:v>双栈模拟</x:v>
      </x:c>
      <x:c r="O132" s="165" t="str">
        <x:v>Grind 75核心</x:v>
      </x:c>
      <x:c r="P132" s="171" t="n">
        <x:v>10</x:v>
      </x:c>
      <x:c r="Q132" s="151" t="str">
        <x:v>严格限时独立完成，先说模式与不变量，再回答复杂度和替代方案</x:v>
      </x:c>
      <x:c r="R132" s="145" t="str">
        <x:v>未开始</x:v>
      </x:c>
      <x:c r="S132" s="145"/>
      <x:c r="T132" s="177"/>
      <x:c r="U132" s="145"/>
      <x:c r="V132" s="151"/>
      <x:c r="W132" s="112" t="str">
        <x:v>https://leetcode.com/problems/implement-queue-using-stacks/</x:v>
      </x:c>
    </x:row>
    <x:row r="133" ht="34" customHeight="1">
      <x:c r="A133" s="99" t="n">
        <x:v>26</x:v>
      </x:c>
      <x:c r="B133" s="145" t="str">
        <x:v>阶段三 树图动态规划深化</x:v>
      </x:c>
      <x:c r="C133" s="145" t="n">
        <x:v>4</x:v>
      </x:c>
      <x:c r="D133" s="145" t="str">
        <x:v>新题</x:v>
      </x:c>
      <x:c r="E133" s="145" t="str">
        <x:v>主练二</x:v>
      </x:c>
      <x:c r="F133" s="145" t="n">
        <x:v>0</x:v>
      </x:c>
      <x:c r="G133" s="145" t="n">
        <x:v>0</x:v>
      </x:c>
      <x:c r="H133" s="145" t="n">
        <x:v>438</x:v>
      </x:c>
      <x:c r="I133" s="151" t="str">
        <x:v>找到字符串中所有字母异位词</x:v>
      </x:c>
      <x:c r="J133" s="151" t="str">
        <x:v>Find All Anagrams in a String</x:v>
      </x:c>
      <x:c r="K133" s="145" t="str">
        <x:v>中等</x:v>
      </x:c>
      <x:c r="L133" s="145" t="str">
        <x:v>滑动窗口与单调队列</x:v>
      </x:c>
      <x:c r="M133" s="145" t="str">
        <x:v>滑动窗口</x:v>
      </x:c>
      <x:c r="N133" s="165" t="str">
        <x:v>定长窗口与频次</x:v>
      </x:c>
      <x:c r="O133" s="165" t="str">
        <x:v>Grind 75核心</x:v>
      </x:c>
      <x:c r="P133" s="171" t="n">
        <x:v>30</x:v>
      </x:c>
      <x:c r="Q133" s="151" t="str">
        <x:v>盲做并先口述暴力法与优化方向，到时停笔，完成后写复杂度、边界与可追问点</x:v>
      </x:c>
      <x:c r="R133" s="145" t="str">
        <x:v>未开始</x:v>
      </x:c>
      <x:c r="S133" s="145"/>
      <x:c r="T133" s="177"/>
      <x:c r="U133" s="145"/>
      <x:c r="V133" s="151"/>
      <x:c r="W133" s="112" t="str">
        <x:v>https://leetcode.com/problems/find-all-anagrams-in-a-string/</x:v>
      </x:c>
    </x:row>
    <x:row r="134" ht="34" customHeight="1">
      <x:c r="A134" s="99" t="n">
        <x:v>26</x:v>
      </x:c>
      <x:c r="B134" s="145" t="str">
        <x:v>阶段三 树图动态规划深化</x:v>
      </x:c>
      <x:c r="C134" s="145" t="n">
        <x:v>5</x:v>
      </x:c>
      <x:c r="D134" s="145" t="str">
        <x:v>长间隔复做</x:v>
      </x:c>
      <x:c r="E134" s="145" t="str">
        <x:v>长间隔复做</x:v>
      </x:c>
      <x:c r="F134" s="145" t="n">
        <x:v>22</x:v>
      </x:c>
      <x:c r="G134" s="145" t="n">
        <x:v>19</x:v>
      </x:c>
      <x:c r="H134" s="145" t="n">
        <x:v>278</x:v>
      </x:c>
      <x:c r="I134" s="151" t="str">
        <x:v>第一个错误的版本</x:v>
      </x:c>
      <x:c r="J134" s="151" t="str">
        <x:v>First Bad Version</x:v>
      </x:c>
      <x:c r="K134" s="145" t="str">
        <x:v>简单</x:v>
      </x:c>
      <x:c r="L134" s="145" t="str">
        <x:v>二分查找</x:v>
      </x:c>
      <x:c r="M134" s="145" t="str">
        <x:v>二分查找</x:v>
      </x:c>
      <x:c r="N134" s="165" t="str">
        <x:v>左边界查找</x:v>
      </x:c>
      <x:c r="O134" s="165" t="str">
        <x:v>Grind 75核心</x:v>
      </x:c>
      <x:c r="P134" s="171" t="n">
        <x:v>10</x:v>
      </x:c>
      <x:c r="Q134" s="151" t="str">
        <x:v>严格限时独立完成，先说模式与不变量，再回答复杂度和替代方案</x:v>
      </x:c>
      <x:c r="R134" s="145" t="str">
        <x:v>未开始</x:v>
      </x:c>
      <x:c r="S134" s="145"/>
      <x:c r="T134" s="177"/>
      <x:c r="U134" s="145"/>
      <x:c r="V134" s="151"/>
      <x:c r="W134" s="112" t="str">
        <x:v>https://leetcode.com/problems/first-bad-version/</x:v>
      </x:c>
    </x:row>
    <x:row r="135" ht="34" customHeight="1">
      <x:c r="A135" s="99" t="n">
        <x:v>27</x:v>
      </x:c>
      <x:c r="B135" s="145" t="str">
        <x:v>阶段三 树图动态规划深化</x:v>
      </x:c>
      <x:c r="C135" s="145" t="n">
        <x:v>1</x:v>
      </x:c>
      <x:c r="D135" s="145" t="str">
        <x:v>短间隔复做</x:v>
      </x:c>
      <x:c r="E135" s="145" t="str">
        <x:v>主动回忆热身</x:v>
      </x:c>
      <x:c r="F135" s="145" t="n">
        <x:v>4</x:v>
      </x:c>
      <x:c r="G135" s="145" t="n">
        <x:v>4</x:v>
      </x:c>
      <x:c r="H135" s="145" t="n">
        <x:v>199</x:v>
      </x:c>
      <x:c r="I135" s="151" t="str">
        <x:v>二叉树的右视图</x:v>
      </x:c>
      <x:c r="J135" s="151" t="str">
        <x:v>Binary Tree Right Side View</x:v>
      </x:c>
      <x:c r="K135" s="145" t="str">
        <x:v>中等</x:v>
      </x:c>
      <x:c r="L135" s="145" t="str">
        <x:v>树与递归</x:v>
      </x:c>
      <x:c r="M135" s="145" t="str">
        <x:v>二叉树</x:v>
      </x:c>
      <x:c r="N135" s="165" t="str">
        <x:v>层序遍历或右优先深搜</x:v>
      </x:c>
      <x:c r="O135" s="165" t="str">
        <x:v>Grind 75核心</x:v>
      </x:c>
      <x:c r="P135" s="171" t="n">
        <x:v>13</x:v>
      </x:c>
      <x:c r="Q135" s="151" t="str">
        <x:v>空白编辑器重写，禁止看旧代码，卡住五分钟后只看最小提示</x:v>
      </x:c>
      <x:c r="R135" s="145" t="str">
        <x:v>未开始</x:v>
      </x:c>
      <x:c r="S135" s="145"/>
      <x:c r="T135" s="177"/>
      <x:c r="U135" s="145"/>
      <x:c r="V135" s="151"/>
      <x:c r="W135" s="112" t="str">
        <x:v>https://leetcode.com/problems/binary-tree-right-side-view/</x:v>
      </x:c>
    </x:row>
    <x:row r="136" ht="34" customHeight="1">
      <x:c r="A136" s="99" t="n">
        <x:v>27</x:v>
      </x:c>
      <x:c r="B136" s="145" t="str">
        <x:v>阶段三 树图动态规划深化</x:v>
      </x:c>
      <x:c r="C136" s="145" t="n">
        <x:v>2</x:v>
      </x:c>
      <x:c r="D136" s="145" t="str">
        <x:v>新题</x:v>
      </x:c>
      <x:c r="E136" s="145" t="str">
        <x:v>主练一</x:v>
      </x:c>
      <x:c r="F136" s="145" t="n">
        <x:v>0</x:v>
      </x:c>
      <x:c r="G136" s="145" t="n">
        <x:v>0</x:v>
      </x:c>
      <x:c r="H136" s="145" t="n">
        <x:v>310</x:v>
      </x:c>
      <x:c r="I136" s="151" t="str">
        <x:v>最小高度树</x:v>
      </x:c>
      <x:c r="J136" s="151" t="str">
        <x:v>Minimum Height Trees</x:v>
      </x:c>
      <x:c r="K136" s="145" t="str">
        <x:v>中等</x:v>
      </x:c>
      <x:c r="L136" s="145" t="str">
        <x:v>图与并查集</x:v>
      </x:c>
      <x:c r="M136" s="145" t="str">
        <x:v>图论</x:v>
      </x:c>
      <x:c r="N136" s="165" t="str">
        <x:v>拓扑剥叶</x:v>
      </x:c>
      <x:c r="O136" s="165" t="str">
        <x:v>Grind 75核心</x:v>
      </x:c>
      <x:c r="P136" s="171" t="n">
        <x:v>30</x:v>
      </x:c>
      <x:c r="Q136" s="151" t="str">
        <x:v>盲做并先口述暴力法与优化方向，到时停笔，完成后写复杂度、边界与可追问点</x:v>
      </x:c>
      <x:c r="R136" s="145" t="str">
        <x:v>未开始</x:v>
      </x:c>
      <x:c r="S136" s="145"/>
      <x:c r="T136" s="177"/>
      <x:c r="U136" s="145"/>
      <x:c r="V136" s="151"/>
      <x:c r="W136" s="112" t="str">
        <x:v>https://leetcode.com/problems/minimum-height-trees/</x:v>
      </x:c>
    </x:row>
    <x:row r="137" ht="34" customHeight="1">
      <x:c r="A137" s="99" t="n">
        <x:v>27</x:v>
      </x:c>
      <x:c r="B137" s="145" t="str">
        <x:v>阶段三 树图动态规划深化</x:v>
      </x:c>
      <x:c r="C137" s="145" t="n">
        <x:v>3</x:v>
      </x:c>
      <x:c r="D137" s="145" t="str">
        <x:v>短间隔复做</x:v>
      </x:c>
      <x:c r="E137" s="145" t="str">
        <x:v>交错复盘</x:v>
      </x:c>
      <x:c r="F137" s="145" t="n">
        <x:v>4</x:v>
      </x:c>
      <x:c r="G137" s="145" t="n">
        <x:v>4</x:v>
      </x:c>
      <x:c r="H137" s="145" t="n">
        <x:v>5</x:v>
      </x:c>
      <x:c r="I137" s="151" t="str">
        <x:v>最长回文子串</x:v>
      </x:c>
      <x:c r="J137" s="151" t="str">
        <x:v>Longest Palindromic Substring</x:v>
      </x:c>
      <x:c r="K137" s="145" t="str">
        <x:v>中等</x:v>
      </x:c>
      <x:c r="L137" s="145" t="str">
        <x:v>动态规划</x:v>
      </x:c>
      <x:c r="M137" s="145" t="str">
        <x:v>字符串与动态规划</x:v>
      </x:c>
      <x:c r="N137" s="165" t="str">
        <x:v>中心扩展</x:v>
      </x:c>
      <x:c r="O137" s="165" t="str">
        <x:v>Grind 75核心</x:v>
      </x:c>
      <x:c r="P137" s="171" t="n">
        <x:v>16</x:v>
      </x:c>
      <x:c r="Q137" s="151" t="str">
        <x:v>空白编辑器重写，禁止看旧代码，卡住五分钟后只看最小提示</x:v>
      </x:c>
      <x:c r="R137" s="145" t="str">
        <x:v>未开始</x:v>
      </x:c>
      <x:c r="S137" s="145"/>
      <x:c r="T137" s="177"/>
      <x:c r="U137" s="145"/>
      <x:c r="V137" s="151"/>
      <x:c r="W137" s="112" t="str">
        <x:v>https://leetcode.com/problems/longest-palindromic-substring/</x:v>
      </x:c>
    </x:row>
    <x:row r="138" ht="34" customHeight="1">
      <x:c r="A138" s="99" t="n">
        <x:v>27</x:v>
      </x:c>
      <x:c r="B138" s="145" t="str">
        <x:v>阶段三 树图动态规划深化</x:v>
      </x:c>
      <x:c r="C138" s="145" t="n">
        <x:v>4</x:v>
      </x:c>
      <x:c r="D138" s="145" t="str">
        <x:v>新题</x:v>
      </x:c>
      <x:c r="E138" s="145" t="str">
        <x:v>主练二</x:v>
      </x:c>
      <x:c r="F138" s="145" t="n">
        <x:v>0</x:v>
      </x:c>
      <x:c r="G138" s="145" t="n">
        <x:v>0</x:v>
      </x:c>
      <x:c r="H138" s="145" t="n">
        <x:v>621</x:v>
      </x:c>
      <x:c r="I138" s="151" t="str">
        <x:v>任务调度器</x:v>
      </x:c>
      <x:c r="J138" s="151" t="str">
        <x:v>Task Scheduler</x:v>
      </x:c>
      <x:c r="K138" s="145" t="str">
        <x:v>中等</x:v>
      </x:c>
      <x:c r="L138" s="145" t="str">
        <x:v>堆与优先队列</x:v>
      </x:c>
      <x:c r="M138" s="145" t="str">
        <x:v>堆与贪心</x:v>
      </x:c>
      <x:c r="N138" s="165" t="str">
        <x:v>频次计数与调度</x:v>
      </x:c>
      <x:c r="O138" s="165" t="str">
        <x:v>Grind 75核心</x:v>
      </x:c>
      <x:c r="P138" s="171" t="n">
        <x:v>35</x:v>
      </x:c>
      <x:c r="Q138" s="151" t="str">
        <x:v>盲做并先口述暴力法与优化方向，到时停笔，完成后写复杂度、边界与可追问点</x:v>
      </x:c>
      <x:c r="R138" s="145" t="str">
        <x:v>未开始</x:v>
      </x:c>
      <x:c r="S138" s="145"/>
      <x:c r="T138" s="177"/>
      <x:c r="U138" s="145"/>
      <x:c r="V138" s="151"/>
      <x:c r="W138" s="112" t="str">
        <x:v>https://leetcode.com/problems/task-scheduler/</x:v>
      </x:c>
    </x:row>
    <x:row r="139" ht="34" customHeight="1">
      <x:c r="A139" s="99" t="n">
        <x:v>27</x:v>
      </x:c>
      <x:c r="B139" s="145" t="str">
        <x:v>阶段三 树图动态规划深化</x:v>
      </x:c>
      <x:c r="C139" s="145" t="n">
        <x:v>5</x:v>
      </x:c>
      <x:c r="D139" s="145" t="str">
        <x:v>长间隔复做</x:v>
      </x:c>
      <x:c r="E139" s="145" t="str">
        <x:v>长间隔复做</x:v>
      </x:c>
      <x:c r="F139" s="145" t="n">
        <x:v>22</x:v>
      </x:c>
      <x:c r="G139" s="145" t="n">
        <x:v>18</x:v>
      </x:c>
      <x:c r="H139" s="145" t="n">
        <x:v>383</x:v>
      </x:c>
      <x:c r="I139" s="151" t="str">
        <x:v>赎金信</x:v>
      </x:c>
      <x:c r="J139" s="151" t="str">
        <x:v>Ransom Note</x:v>
      </x:c>
      <x:c r="K139" s="145" t="str">
        <x:v>简单</x:v>
      </x:c>
      <x:c r="L139" s="145" t="str">
        <x:v>数组与哈希</x:v>
      </x:c>
      <x:c r="M139" s="145" t="str">
        <x:v>数组与哈希</x:v>
      </x:c>
      <x:c r="N139" s="165" t="str">
        <x:v>字符频次计数</x:v>
      </x:c>
      <x:c r="O139" s="165" t="str">
        <x:v>Grind 75核心</x:v>
      </x:c>
      <x:c r="P139" s="171" t="n">
        <x:v>10</x:v>
      </x:c>
      <x:c r="Q139" s="151" t="str">
        <x:v>严格限时独立完成，先说模式与不变量，再回答复杂度和替代方案</x:v>
      </x:c>
      <x:c r="R139" s="145" t="str">
        <x:v>未开始</x:v>
      </x:c>
      <x:c r="S139" s="145"/>
      <x:c r="T139" s="177"/>
      <x:c r="U139" s="145"/>
      <x:c r="V139" s="151"/>
      <x:c r="W139" s="112" t="str">
        <x:v>https://leetcode.com/problems/ransom-note/</x:v>
      </x:c>
    </x:row>
    <x:row r="140" ht="34" customHeight="1">
      <x:c r="A140" s="99" t="n">
        <x:v>28</x:v>
      </x:c>
      <x:c r="B140" s="145" t="str">
        <x:v>阶段三 树图动态规划深化</x:v>
      </x:c>
      <x:c r="C140" s="145" t="n">
        <x:v>1</x:v>
      </x:c>
      <x:c r="D140" s="145" t="str">
        <x:v>短间隔复做</x:v>
      </x:c>
      <x:c r="E140" s="145" t="str">
        <x:v>主动回忆热身</x:v>
      </x:c>
      <x:c r="F140" s="145" t="n">
        <x:v>4</x:v>
      </x:c>
      <x:c r="G140" s="145" t="n">
        <x:v>4</x:v>
      </x:c>
      <x:c r="H140" s="145" t="n">
        <x:v>105</x:v>
      </x:c>
      <x:c r="I140" s="151" t="str">
        <x:v>从前序与中序遍历序列构造二叉树</x:v>
      </x:c>
      <x:c r="J140" s="151" t="str">
        <x:v>Construct Binary Tree from Preorder and Inorder Traversal</x:v>
      </x:c>
      <x:c r="K140" s="145" t="str">
        <x:v>中等</x:v>
      </x:c>
      <x:c r="L140" s="145" t="str">
        <x:v>树与递归</x:v>
      </x:c>
      <x:c r="M140" s="145" t="str">
        <x:v>二叉树</x:v>
      </x:c>
      <x:c r="N140" s="165" t="str">
        <x:v>分治与索引映射</x:v>
      </x:c>
      <x:c r="O140" s="165" t="str">
        <x:v>Grind 75核心</x:v>
      </x:c>
      <x:c r="P140" s="171" t="n">
        <x:v>16</x:v>
      </x:c>
      <x:c r="Q140" s="151" t="str">
        <x:v>空白编辑器重写，禁止看旧代码，卡住五分钟后只看最小提示</x:v>
      </x:c>
      <x:c r="R140" s="145" t="str">
        <x:v>未开始</x:v>
      </x:c>
      <x:c r="S140" s="145"/>
      <x:c r="T140" s="177"/>
      <x:c r="U140" s="145"/>
      <x:c r="V140" s="151"/>
      <x:c r="W140" s="112" t="str">
        <x:v>https://leetcode.com/problems/construct-binary-tree-from-preorder-and-inorder-traversal/</x:v>
      </x:c>
    </x:row>
    <x:row r="141" ht="34" customHeight="1">
      <x:c r="A141" s="99" t="n">
        <x:v>28</x:v>
      </x:c>
      <x:c r="B141" s="145" t="str">
        <x:v>阶段三 树图动态规划深化</x:v>
      </x:c>
      <x:c r="C141" s="145" t="n">
        <x:v>2</x:v>
      </x:c>
      <x:c r="D141" s="145" t="str">
        <x:v>新题</x:v>
      </x:c>
      <x:c r="E141" s="145" t="str">
        <x:v>主练一</x:v>
      </x:c>
      <x:c r="F141" s="145" t="n">
        <x:v>0</x:v>
      </x:c>
      <x:c r="G141" s="145" t="n">
        <x:v>0</x:v>
      </x:c>
      <x:c r="H141" s="145" t="n">
        <x:v>146</x:v>
      </x:c>
      <x:c r="I141" s="151" t="str">
        <x:v>LRU缓存</x:v>
      </x:c>
      <x:c r="J141" s="151" t="str">
        <x:v>LRU Cache</x:v>
      </x:c>
      <x:c r="K141" s="145" t="str">
        <x:v>中等</x:v>
      </x:c>
      <x:c r="L141" s="145" t="str">
        <x:v>设计</x:v>
      </x:c>
      <x:c r="M141" s="145" t="str">
        <x:v>设计</x:v>
      </x:c>
      <x:c r="N141" s="165" t="str">
        <x:v>哈希表与双向链表</x:v>
      </x:c>
      <x:c r="O141" s="165" t="str">
        <x:v>Grind 75核心</x:v>
      </x:c>
      <x:c r="P141" s="171" t="n">
        <x:v>30</x:v>
      </x:c>
      <x:c r="Q141" s="151" t="str">
        <x:v>盲做并先口述暴力法与优化方向，到时停笔，完成后写复杂度、边界与可追问点</x:v>
      </x:c>
      <x:c r="R141" s="145" t="str">
        <x:v>未开始</x:v>
      </x:c>
      <x:c r="S141" s="145"/>
      <x:c r="T141" s="177"/>
      <x:c r="U141" s="145"/>
      <x:c r="V141" s="151"/>
      <x:c r="W141" s="112" t="str">
        <x:v>https://leetcode.com/problems/lru-cache/</x:v>
      </x:c>
    </x:row>
    <x:row r="142" ht="34" customHeight="1">
      <x:c r="A142" s="99" t="n">
        <x:v>28</x:v>
      </x:c>
      <x:c r="B142" s="145" t="str">
        <x:v>阶段三 树图动态规划深化</x:v>
      </x:c>
      <x:c r="C142" s="145" t="n">
        <x:v>3</x:v>
      </x:c>
      <x:c r="D142" s="145" t="str">
        <x:v>长间隔复做</x:v>
      </x:c>
      <x:c r="E142" s="145" t="str">
        <x:v>交错复盘</x:v>
      </x:c>
      <x:c r="F142" s="145" t="n">
        <x:v>23</x:v>
      </x:c>
      <x:c r="G142" s="145" t="n">
        <x:v>19</x:v>
      </x:c>
      <x:c r="H142" s="145" t="n">
        <x:v>70</x:v>
      </x:c>
      <x:c r="I142" s="151" t="str">
        <x:v>爬楼梯</x:v>
      </x:c>
      <x:c r="J142" s="151" t="str">
        <x:v>Climbing Stairs</x:v>
      </x:c>
      <x:c r="K142" s="145" t="str">
        <x:v>简单</x:v>
      </x:c>
      <x:c r="L142" s="145" t="str">
        <x:v>动态规划</x:v>
      </x:c>
      <x:c r="M142" s="145" t="str">
        <x:v>动态规划</x:v>
      </x:c>
      <x:c r="N142" s="165" t="str">
        <x:v>一维状态转移</x:v>
      </x:c>
      <x:c r="O142" s="165" t="str">
        <x:v>Grind 75核心</x:v>
      </x:c>
      <x:c r="P142" s="171" t="n">
        <x:v>10</x:v>
      </x:c>
      <x:c r="Q142" s="151" t="str">
        <x:v>严格限时独立完成，先说模式与不变量，再回答复杂度和替代方案</x:v>
      </x:c>
      <x:c r="R142" s="145" t="str">
        <x:v>未开始</x:v>
      </x:c>
      <x:c r="S142" s="145"/>
      <x:c r="T142" s="177"/>
      <x:c r="U142" s="145"/>
      <x:c r="V142" s="151"/>
      <x:c r="W142" s="112" t="str">
        <x:v>https://leetcode.com/problems/climbing-stairs/</x:v>
      </x:c>
    </x:row>
    <x:row r="143" ht="34" customHeight="1">
      <x:c r="A143" s="99" t="n">
        <x:v>28</x:v>
      </x:c>
      <x:c r="B143" s="145" t="str">
        <x:v>阶段三 树图动态规划深化</x:v>
      </x:c>
      <x:c r="C143" s="145" t="n">
        <x:v>4</x:v>
      </x:c>
      <x:c r="D143" s="145" t="str">
        <x:v>新题</x:v>
      </x:c>
      <x:c r="E143" s="145" t="str">
        <x:v>主练二</x:v>
      </x:c>
      <x:c r="F143" s="145" t="n">
        <x:v>0</x:v>
      </x:c>
      <x:c r="G143" s="145" t="n">
        <x:v>0</x:v>
      </x:c>
      <x:c r="H143" s="145" t="n">
        <x:v>230</x:v>
      </x:c>
      <x:c r="I143" s="151" t="str">
        <x:v>二叉搜索树中第K小的元素</x:v>
      </x:c>
      <x:c r="J143" s="151" t="str">
        <x:v>Kth Smallest Element in a BST</x:v>
      </x:c>
      <x:c r="K143" s="145" t="str">
        <x:v>中等</x:v>
      </x:c>
      <x:c r="L143" s="145" t="str">
        <x:v>树与递归</x:v>
      </x:c>
      <x:c r="M143" s="145" t="str">
        <x:v>二叉搜索树</x:v>
      </x:c>
      <x:c r="N143" s="165" t="str">
        <x:v>中序遍历</x:v>
      </x:c>
      <x:c r="O143" s="165" t="str">
        <x:v>Grind 75核心</x:v>
      </x:c>
      <x:c r="P143" s="171" t="n">
        <x:v>25</x:v>
      </x:c>
      <x:c r="Q143" s="151" t="str">
        <x:v>盲做并先口述暴力法与优化方向，到时停笔，完成后写复杂度、边界与可追问点</x:v>
      </x:c>
      <x:c r="R143" s="145" t="str">
        <x:v>未开始</x:v>
      </x:c>
      <x:c r="S143" s="145"/>
      <x:c r="T143" s="177"/>
      <x:c r="U143" s="145"/>
      <x:c r="V143" s="151"/>
      <x:c r="W143" s="112" t="str">
        <x:v>https://leetcode.com/problems/kth-smallest-element-in-a-bst/</x:v>
      </x:c>
    </x:row>
    <x:row r="144" ht="34" customHeight="1">
      <x:c r="A144" s="99" t="n">
        <x:v>28</x:v>
      </x:c>
      <x:c r="B144" s="145" t="str">
        <x:v>阶段三 树图动态规划深化</x:v>
      </x:c>
      <x:c r="C144" s="145" t="n">
        <x:v>5</x:v>
      </x:c>
      <x:c r="D144" s="145" t="str">
        <x:v>长间隔复做</x:v>
      </x:c>
      <x:c r="E144" s="145" t="str">
        <x:v>长间隔复做</x:v>
      </x:c>
      <x:c r="F144" s="145" t="n">
        <x:v>23</x:v>
      </x:c>
      <x:c r="G144" s="145" t="n">
        <x:v>19</x:v>
      </x:c>
      <x:c r="H144" s="145" t="n">
        <x:v>409</x:v>
      </x:c>
      <x:c r="I144" s="151" t="str">
        <x:v>最长回文串</x:v>
      </x:c>
      <x:c r="J144" s="151" t="str">
        <x:v>Longest Palindrome</x:v>
      </x:c>
      <x:c r="K144" s="145" t="str">
        <x:v>简单</x:v>
      </x:c>
      <x:c r="L144" s="145" t="str">
        <x:v>字符串</x:v>
      </x:c>
      <x:c r="M144" s="145" t="str">
        <x:v>字符串与哈希</x:v>
      </x:c>
      <x:c r="N144" s="165" t="str">
        <x:v>频次奇偶性</x:v>
      </x:c>
      <x:c r="O144" s="165" t="str">
        <x:v>Grind 75核心</x:v>
      </x:c>
      <x:c r="P144" s="171" t="n">
        <x:v>10</x:v>
      </x:c>
      <x:c r="Q144" s="151" t="str">
        <x:v>严格限时独立完成，先说模式与不变量，再回答复杂度和替代方案</x:v>
      </x:c>
      <x:c r="R144" s="145" t="str">
        <x:v>未开始</x:v>
      </x:c>
      <x:c r="S144" s="145"/>
      <x:c r="T144" s="177"/>
      <x:c r="U144" s="145"/>
      <x:c r="V144" s="151"/>
      <x:c r="W144" s="112" t="str">
        <x:v>https://leetcode.com/problems/longest-palindrome/</x:v>
      </x:c>
    </x:row>
    <x:row r="145" ht="34" customHeight="1">
      <x:c r="A145" s="99" t="n">
        <x:v>29</x:v>
      </x:c>
      <x:c r="B145" s="145" t="str">
        <x:v>阶段三 树图动态规划深化</x:v>
      </x:c>
      <x:c r="C145" s="145" t="n">
        <x:v>1</x:v>
      </x:c>
      <x:c r="D145" s="145" t="str">
        <x:v>短间隔复做</x:v>
      </x:c>
      <x:c r="E145" s="145" t="str">
        <x:v>主动回忆热身</x:v>
      </x:c>
      <x:c r="F145" s="145" t="n">
        <x:v>5</x:v>
      </x:c>
      <x:c r="G145" s="145" t="n">
        <x:v>5</x:v>
      </x:c>
      <x:c r="H145" s="145" t="n">
        <x:v>62</x:v>
      </x:c>
      <x:c r="I145" s="151" t="str">
        <x:v>不同路径</x:v>
      </x:c>
      <x:c r="J145" s="151" t="str">
        <x:v>Unique Paths</x:v>
      </x:c>
      <x:c r="K145" s="145" t="str">
        <x:v>中等</x:v>
      </x:c>
      <x:c r="L145" s="145" t="str">
        <x:v>动态规划</x:v>
      </x:c>
      <x:c r="M145" s="145" t="str">
        <x:v>动态规划</x:v>
      </x:c>
      <x:c r="N145" s="165" t="str">
        <x:v>网格状态转移</x:v>
      </x:c>
      <x:c r="O145" s="165" t="str">
        <x:v>Grind 75核心</x:v>
      </x:c>
      <x:c r="P145" s="171" t="n">
        <x:v>13</x:v>
      </x:c>
      <x:c r="Q145" s="151" t="str">
        <x:v>空白编辑器重写，禁止看旧代码，卡住五分钟后只看最小提示</x:v>
      </x:c>
      <x:c r="R145" s="145" t="str">
        <x:v>未开始</x:v>
      </x:c>
      <x:c r="S145" s="145"/>
      <x:c r="T145" s="177"/>
      <x:c r="U145" s="145"/>
      <x:c r="V145" s="151"/>
      <x:c r="W145" s="112" t="str">
        <x:v>https://leetcode.com/problems/unique-paths/</x:v>
      </x:c>
    </x:row>
    <x:row r="146" ht="34" customHeight="1">
      <x:c r="A146" s="99" t="n">
        <x:v>29</x:v>
      </x:c>
      <x:c r="B146" s="145" t="str">
        <x:v>阶段三 树图动态规划深化</x:v>
      </x:c>
      <x:c r="C146" s="145" t="n">
        <x:v>2</x:v>
      </x:c>
      <x:c r="D146" s="145" t="str">
        <x:v>新题</x:v>
      </x:c>
      <x:c r="E146" s="145" t="str">
        <x:v>主练一</x:v>
      </x:c>
      <x:c r="F146" s="145" t="n">
        <x:v>0</x:v>
      </x:c>
      <x:c r="G146" s="145" t="n">
        <x:v>0</x:v>
      </x:c>
      <x:c r="H146" s="145" t="n">
        <x:v>76</x:v>
      </x:c>
      <x:c r="I146" s="151" t="str">
        <x:v>最小覆盖子串</x:v>
      </x:c>
      <x:c r="J146" s="151" t="str">
        <x:v>Minimum Window Substring</x:v>
      </x:c>
      <x:c r="K146" s="145" t="str">
        <x:v>困难</x:v>
      </x:c>
      <x:c r="L146" s="145" t="str">
        <x:v>滑动窗口与单调队列</x:v>
      </x:c>
      <x:c r="M146" s="145" t="str">
        <x:v>滑动窗口</x:v>
      </x:c>
      <x:c r="N146" s="165" t="str">
        <x:v>满足条件后的收缩</x:v>
      </x:c>
      <x:c r="O146" s="165" t="str">
        <x:v>Grind 75核心</x:v>
      </x:c>
      <x:c r="P146" s="171" t="n">
        <x:v>30</x:v>
      </x:c>
      <x:c r="Q146" s="151" t="str">
        <x:v>盲做并先口述暴力法与优化方向，到时停笔，完成后写复杂度、边界与可追问点</x:v>
      </x:c>
      <x:c r="R146" s="145" t="str">
        <x:v>未开始</x:v>
      </x:c>
      <x:c r="S146" s="145"/>
      <x:c r="T146" s="177"/>
      <x:c r="U146" s="145"/>
      <x:c r="V146" s="151"/>
      <x:c r="W146" s="112" t="str">
        <x:v>https://leetcode.com/problems/minimum-window-substring/</x:v>
      </x:c>
    </x:row>
    <x:row r="147" ht="34" customHeight="1">
      <x:c r="A147" s="99" t="n">
        <x:v>29</x:v>
      </x:c>
      <x:c r="B147" s="145" t="str">
        <x:v>阶段三 树图动态规划深化</x:v>
      </x:c>
      <x:c r="C147" s="145" t="n">
        <x:v>3</x:v>
      </x:c>
      <x:c r="D147" s="145" t="str">
        <x:v>长间隔复做</x:v>
      </x:c>
      <x:c r="E147" s="145" t="str">
        <x:v>交错复盘</x:v>
      </x:c>
      <x:c r="F147" s="145" t="n">
        <x:v>23</x:v>
      </x:c>
      <x:c r="G147" s="145" t="n">
        <x:v>19</x:v>
      </x:c>
      <x:c r="H147" s="145" t="n">
        <x:v>206</x:v>
      </x:c>
      <x:c r="I147" s="151" t="str">
        <x:v>反转链表</x:v>
      </x:c>
      <x:c r="J147" s="151" t="str">
        <x:v>Reverse Linked List</x:v>
      </x:c>
      <x:c r="K147" s="145" t="str">
        <x:v>简单</x:v>
      </x:c>
      <x:c r="L147" s="145" t="str">
        <x:v>链表</x:v>
      </x:c>
      <x:c r="M147" s="145" t="str">
        <x:v>链表</x:v>
      </x:c>
      <x:c r="N147" s="165" t="str">
        <x:v>指针反转</x:v>
      </x:c>
      <x:c r="O147" s="165" t="str">
        <x:v>Grind 75核心</x:v>
      </x:c>
      <x:c r="P147" s="171" t="n">
        <x:v>10</x:v>
      </x:c>
      <x:c r="Q147" s="151" t="str">
        <x:v>严格限时独立完成，先说模式与不变量，再回答复杂度和替代方案</x:v>
      </x:c>
      <x:c r="R147" s="145" t="str">
        <x:v>未开始</x:v>
      </x:c>
      <x:c r="S147" s="145"/>
      <x:c r="T147" s="177"/>
      <x:c r="U147" s="145"/>
      <x:c r="V147" s="151"/>
      <x:c r="W147" s="112" t="str">
        <x:v>https://leetcode.com/problems/reverse-linked-list/</x:v>
      </x:c>
    </x:row>
    <x:row r="148" ht="34" customHeight="1">
      <x:c r="A148" s="99" t="n">
        <x:v>29</x:v>
      </x:c>
      <x:c r="B148" s="145" t="str">
        <x:v>阶段三 树图动态规划深化</x:v>
      </x:c>
      <x:c r="C148" s="145" t="n">
        <x:v>4</x:v>
      </x:c>
      <x:c r="D148" s="145" t="str">
        <x:v>新题</x:v>
      </x:c>
      <x:c r="E148" s="145" t="str">
        <x:v>主练二</x:v>
      </x:c>
      <x:c r="F148" s="145" t="n">
        <x:v>0</x:v>
      </x:c>
      <x:c r="G148" s="145" t="n">
        <x:v>0</x:v>
      </x:c>
      <x:c r="H148" s="145" t="n">
        <x:v>297</x:v>
      </x:c>
      <x:c r="I148" s="151" t="str">
        <x:v>二叉树的序列化与反序列化</x:v>
      </x:c>
      <x:c r="J148" s="151" t="str">
        <x:v>Serialize and Deserialize Binary Tree</x:v>
      </x:c>
      <x:c r="K148" s="145" t="str">
        <x:v>困难</x:v>
      </x:c>
      <x:c r="L148" s="145" t="str">
        <x:v>树与递归</x:v>
      </x:c>
      <x:c r="M148" s="145" t="str">
        <x:v>二叉树</x:v>
      </x:c>
      <x:c r="N148" s="165" t="str">
        <x:v>编解码与遍历</x:v>
      </x:c>
      <x:c r="O148" s="165" t="str">
        <x:v>Grind 75核心</x:v>
      </x:c>
      <x:c r="P148" s="171" t="n">
        <x:v>40</x:v>
      </x:c>
      <x:c r="Q148" s="151" t="str">
        <x:v>盲做并先口述暴力法与优化方向，到时停笔，完成后写复杂度、边界与可追问点</x:v>
      </x:c>
      <x:c r="R148" s="145" t="str">
        <x:v>未开始</x:v>
      </x:c>
      <x:c r="S148" s="145"/>
      <x:c r="T148" s="177"/>
      <x:c r="U148" s="145"/>
      <x:c r="V148" s="151"/>
      <x:c r="W148" s="112" t="str">
        <x:v>https://leetcode.com/problems/serialize-and-deserialize-binary-tree/</x:v>
      </x:c>
    </x:row>
    <x:row r="149" ht="34" customHeight="1">
      <x:c r="A149" s="99" t="n">
        <x:v>29</x:v>
      </x:c>
      <x:c r="B149" s="145" t="str">
        <x:v>阶段三 树图动态规划深化</x:v>
      </x:c>
      <x:c r="C149" s="145" t="n">
        <x:v>5</x:v>
      </x:c>
      <x:c r="D149" s="145" t="str">
        <x:v>长间隔复做</x:v>
      </x:c>
      <x:c r="E149" s="145" t="str">
        <x:v>长间隔复做</x:v>
      </x:c>
      <x:c r="F149" s="145" t="n">
        <x:v>23</x:v>
      </x:c>
      <x:c r="G149" s="145" t="n">
        <x:v>19</x:v>
      </x:c>
      <x:c r="H149" s="145" t="n">
        <x:v>169</x:v>
      </x:c>
      <x:c r="I149" s="151" t="str">
        <x:v>多数元素</x:v>
      </x:c>
      <x:c r="J149" s="151" t="str">
        <x:v>Majority Element</x:v>
      </x:c>
      <x:c r="K149" s="145" t="str">
        <x:v>简单</x:v>
      </x:c>
      <x:c r="L149" s="145" t="str">
        <x:v>贪心与区间</x:v>
      </x:c>
      <x:c r="M149" s="145" t="str">
        <x:v>数组与贪心</x:v>
      </x:c>
      <x:c r="N149" s="165" t="str">
        <x:v>Boyer Moore投票</x:v>
      </x:c>
      <x:c r="O149" s="165" t="str">
        <x:v>Grind 75核心</x:v>
      </x:c>
      <x:c r="P149" s="171" t="n">
        <x:v>10</x:v>
      </x:c>
      <x:c r="Q149" s="151" t="str">
        <x:v>严格限时独立完成，先说模式与不变量，再回答复杂度和替代方案</x:v>
      </x:c>
      <x:c r="R149" s="145" t="str">
        <x:v>未开始</x:v>
      </x:c>
      <x:c r="S149" s="145"/>
      <x:c r="T149" s="177"/>
      <x:c r="U149" s="145"/>
      <x:c r="V149" s="151"/>
      <x:c r="W149" s="112" t="str">
        <x:v>https://leetcode.com/problems/majority-element/</x:v>
      </x:c>
    </x:row>
    <x:row r="150" ht="34" customHeight="1">
      <x:c r="A150" s="99" t="n">
        <x:v>30</x:v>
      </x:c>
      <x:c r="B150" s="145" t="str">
        <x:v>阶段三 树图动态规划深化</x:v>
      </x:c>
      <x:c r="C150" s="145" t="n">
        <x:v>1</x:v>
      </x:c>
      <x:c r="D150" s="145" t="str">
        <x:v>短间隔复做</x:v>
      </x:c>
      <x:c r="E150" s="145" t="str">
        <x:v>主动回忆热身</x:v>
      </x:c>
      <x:c r="F150" s="145" t="n">
        <x:v>5</x:v>
      </x:c>
      <x:c r="G150" s="145" t="n">
        <x:v>5</x:v>
      </x:c>
      <x:c r="H150" s="145" t="n">
        <x:v>11</x:v>
      </x:c>
      <x:c r="I150" s="151" t="str">
        <x:v>盛最多水的容器</x:v>
      </x:c>
      <x:c r="J150" s="151" t="str">
        <x:v>Container With Most Water</x:v>
      </x:c>
      <x:c r="K150" s="145" t="str">
        <x:v>中等</x:v>
      </x:c>
      <x:c r="L150" s="145" t="str">
        <x:v>双指针</x:v>
      </x:c>
      <x:c r="M150" s="145" t="str">
        <x:v>双指针</x:v>
      </x:c>
      <x:c r="N150" s="165" t="str">
        <x:v>对撞指针与单调决策</x:v>
      </x:c>
      <x:c r="O150" s="165" t="str">
        <x:v>Grind 75核心</x:v>
      </x:c>
      <x:c r="P150" s="171" t="n">
        <x:v>23</x:v>
      </x:c>
      <x:c r="Q150" s="151" t="str">
        <x:v>空白编辑器重写，禁止看旧代码，卡住五分钟后只看最小提示</x:v>
      </x:c>
      <x:c r="R150" s="145" t="str">
        <x:v>未开始</x:v>
      </x:c>
      <x:c r="S150" s="145"/>
      <x:c r="T150" s="177"/>
      <x:c r="U150" s="145"/>
      <x:c r="V150" s="151"/>
      <x:c r="W150" s="112" t="str">
        <x:v>https://leetcode.com/problems/container-with-most-water/</x:v>
      </x:c>
    </x:row>
    <x:row r="151" ht="34" customHeight="1">
      <x:c r="A151" s="99" t="n">
        <x:v>30</x:v>
      </x:c>
      <x:c r="B151" s="145" t="str">
        <x:v>阶段三 树图动态规划深化</x:v>
      </x:c>
      <x:c r="C151" s="145" t="n">
        <x:v>2</x:v>
      </x:c>
      <x:c r="D151" s="145" t="str">
        <x:v>新题</x:v>
      </x:c>
      <x:c r="E151" s="145" t="str">
        <x:v>主练一</x:v>
      </x:c>
      <x:c r="F151" s="145" t="n">
        <x:v>0</x:v>
      </x:c>
      <x:c r="G151" s="145" t="n">
        <x:v>0</x:v>
      </x:c>
      <x:c r="H151" s="145" t="n">
        <x:v>42</x:v>
      </x:c>
      <x:c r="I151" s="151" t="str">
        <x:v>接雨水</x:v>
      </x:c>
      <x:c r="J151" s="151" t="str">
        <x:v>Trapping Rain Water</x:v>
      </x:c>
      <x:c r="K151" s="145" t="str">
        <x:v>困难</x:v>
      </x:c>
      <x:c r="L151" s="145" t="str">
        <x:v>单调栈</x:v>
      </x:c>
      <x:c r="M151" s="145" t="str">
        <x:v>单调栈与双指针</x:v>
      </x:c>
      <x:c r="N151" s="165" t="str">
        <x:v>左右最大值或单调栈</x:v>
      </x:c>
      <x:c r="O151" s="165" t="str">
        <x:v>Grind 75核心</x:v>
      </x:c>
      <x:c r="P151" s="171" t="n">
        <x:v>35</x:v>
      </x:c>
      <x:c r="Q151" s="151" t="str">
        <x:v>盲做并先口述暴力法与优化方向，到时停笔，完成后写复杂度、边界与可追问点</x:v>
      </x:c>
      <x:c r="R151" s="145" t="str">
        <x:v>未开始</x:v>
      </x:c>
      <x:c r="S151" s="145"/>
      <x:c r="T151" s="177"/>
      <x:c r="U151" s="145"/>
      <x:c r="V151" s="151"/>
      <x:c r="W151" s="112" t="str">
        <x:v>https://leetcode.com/problems/trapping-rain-water/</x:v>
      </x:c>
    </x:row>
    <x:row r="152" ht="34" customHeight="1">
      <x:c r="A152" s="99" t="n">
        <x:v>30</x:v>
      </x:c>
      <x:c r="B152" s="145" t="str">
        <x:v>阶段三 树图动态规划深化</x:v>
      </x:c>
      <x:c r="C152" s="145" t="n">
        <x:v>3</x:v>
      </x:c>
      <x:c r="D152" s="145" t="str">
        <x:v>短间隔复做</x:v>
      </x:c>
      <x:c r="E152" s="145" t="str">
        <x:v>交错复盘</x:v>
      </x:c>
      <x:c r="F152" s="145" t="n">
        <x:v>5</x:v>
      </x:c>
      <x:c r="G152" s="145" t="n">
        <x:v>5</x:v>
      </x:c>
      <x:c r="H152" s="145" t="n">
        <x:v>17</x:v>
      </x:c>
      <x:c r="I152" s="151" t="str">
        <x:v>电话号码的字母组合</x:v>
      </x:c>
      <x:c r="J152" s="151" t="str">
        <x:v>Letter Combinations of a Phone Number</x:v>
      </x:c>
      <x:c r="K152" s="145" t="str">
        <x:v>中等</x:v>
      </x:c>
      <x:c r="L152" s="145" t="str">
        <x:v>回溯</x:v>
      </x:c>
      <x:c r="M152" s="145" t="str">
        <x:v>回溯</x:v>
      </x:c>
      <x:c r="N152" s="165" t="str">
        <x:v>多叉树组合搜索</x:v>
      </x:c>
      <x:c r="O152" s="165" t="str">
        <x:v>Grind 75核心</x:v>
      </x:c>
      <x:c r="P152" s="171" t="n">
        <x:v>20</x:v>
      </x:c>
      <x:c r="Q152" s="151" t="str">
        <x:v>空白编辑器重写，禁止看旧代码，卡住五分钟后只看最小提示</x:v>
      </x:c>
      <x:c r="R152" s="145" t="str">
        <x:v>未开始</x:v>
      </x:c>
      <x:c r="S152" s="145"/>
      <x:c r="T152" s="177"/>
      <x:c r="U152" s="145"/>
      <x:c r="V152" s="151"/>
      <x:c r="W152" s="112" t="str">
        <x:v>https://leetcode.com/problems/letter-combinations-of-a-phone-number/</x:v>
      </x:c>
    </x:row>
    <x:row r="153" ht="34" customHeight="1">
      <x:c r="A153" s="99" t="n">
        <x:v>30</x:v>
      </x:c>
      <x:c r="B153" s="145" t="str">
        <x:v>阶段三 树图动态规划深化</x:v>
      </x:c>
      <x:c r="C153" s="145" t="n">
        <x:v>4</x:v>
      </x:c>
      <x:c r="D153" s="145" t="str">
        <x:v>新题</x:v>
      </x:c>
      <x:c r="E153" s="145" t="str">
        <x:v>主练二</x:v>
      </x:c>
      <x:c r="F153" s="145" t="n">
        <x:v>0</x:v>
      </x:c>
      <x:c r="G153" s="145" t="n">
        <x:v>0</x:v>
      </x:c>
      <x:c r="H153" s="145" t="n">
        <x:v>295</x:v>
      </x:c>
      <x:c r="I153" s="151" t="str">
        <x:v>数据流的中位数</x:v>
      </x:c>
      <x:c r="J153" s="151" t="str">
        <x:v>Find Median from Data Stream</x:v>
      </x:c>
      <x:c r="K153" s="145" t="str">
        <x:v>困难</x:v>
      </x:c>
      <x:c r="L153" s="145" t="str">
        <x:v>堆与优先队列</x:v>
      </x:c>
      <x:c r="M153" s="145" t="str">
        <x:v>堆与优先队列</x:v>
      </x:c>
      <x:c r="N153" s="165" t="str">
        <x:v>大小堆平衡</x:v>
      </x:c>
      <x:c r="O153" s="165" t="str">
        <x:v>Grind 75核心</x:v>
      </x:c>
      <x:c r="P153" s="171" t="n">
        <x:v>30</x:v>
      </x:c>
      <x:c r="Q153" s="151" t="str">
        <x:v>盲做并先口述暴力法与优化方向，到时停笔，完成后写复杂度、边界与可追问点</x:v>
      </x:c>
      <x:c r="R153" s="145" t="str">
        <x:v>未开始</x:v>
      </x:c>
      <x:c r="S153" s="145"/>
      <x:c r="T153" s="177"/>
      <x:c r="U153" s="145"/>
      <x:c r="V153" s="151"/>
      <x:c r="W153" s="112" t="str">
        <x:v>https://leetcode.com/problems/find-median-from-data-stream/</x:v>
      </x:c>
    </x:row>
    <x:row r="154" ht="34" customHeight="1">
      <x:c r="A154" s="99" t="n">
        <x:v>30</x:v>
      </x:c>
      <x:c r="B154" s="145" t="str">
        <x:v>阶段三 树图动态规划深化</x:v>
      </x:c>
      <x:c r="C154" s="145" t="n">
        <x:v>5</x:v>
      </x:c>
      <x:c r="D154" s="145" t="str">
        <x:v>长间隔复做</x:v>
      </x:c>
      <x:c r="E154" s="145" t="str">
        <x:v>长间隔复做</x:v>
      </x:c>
      <x:c r="F154" s="145" t="n">
        <x:v>24</x:v>
      </x:c>
      <x:c r="G154" s="145" t="n">
        <x:v>20</x:v>
      </x:c>
      <x:c r="H154" s="145" t="n">
        <x:v>67</x:v>
      </x:c>
      <x:c r="I154" s="151" t="str">
        <x:v>二进制求和</x:v>
      </x:c>
      <x:c r="J154" s="151" t="str">
        <x:v>Add Binary</x:v>
      </x:c>
      <x:c r="K154" s="145" t="str">
        <x:v>简单</x:v>
      </x:c>
      <x:c r="L154" s="145" t="str">
        <x:v>位运算</x:v>
      </x:c>
      <x:c r="M154" s="145" t="str">
        <x:v>位运算与字符串</x:v>
      </x:c>
      <x:c r="N154" s="165" t="str">
        <x:v>逐位模拟进位</x:v>
      </x:c>
      <x:c r="O154" s="165" t="str">
        <x:v>Grind 75核心</x:v>
      </x:c>
      <x:c r="P154" s="171" t="n">
        <x:v>10</x:v>
      </x:c>
      <x:c r="Q154" s="151" t="str">
        <x:v>严格限时独立完成，先说模式与不变量，再回答复杂度和替代方案</x:v>
      </x:c>
      <x:c r="R154" s="145" t="str">
        <x:v>未开始</x:v>
      </x:c>
      <x:c r="S154" s="145"/>
      <x:c r="T154" s="177"/>
      <x:c r="U154" s="145"/>
      <x:c r="V154" s="151"/>
      <x:c r="W154" s="112" t="str">
        <x:v>https://leetcode.com/problems/add-binary/</x:v>
      </x:c>
    </x:row>
    <x:row r="155" ht="34" customHeight="1">
      <x:c r="A155" s="99" t="n">
        <x:v>31</x:v>
      </x:c>
      <x:c r="B155" s="145" t="str">
        <x:v>阶段三 树图动态规划深化</x:v>
      </x:c>
      <x:c r="C155" s="145" t="n">
        <x:v>1</x:v>
      </x:c>
      <x:c r="D155" s="145" t="str">
        <x:v>短间隔复做</x:v>
      </x:c>
      <x:c r="E155" s="145" t="str">
        <x:v>主动回忆热身</x:v>
      </x:c>
      <x:c r="F155" s="145" t="n">
        <x:v>5</x:v>
      </x:c>
      <x:c r="G155" s="145" t="n">
        <x:v>5</x:v>
      </x:c>
      <x:c r="H155" s="145" t="n">
        <x:v>79</x:v>
      </x:c>
      <x:c r="I155" s="151" t="str">
        <x:v>单词搜索</x:v>
      </x:c>
      <x:c r="J155" s="151" t="str">
        <x:v>Word Search</x:v>
      </x:c>
      <x:c r="K155" s="145" t="str">
        <x:v>中等</x:v>
      </x:c>
      <x:c r="L155" s="145" t="str">
        <x:v>图与并查集</x:v>
      </x:c>
      <x:c r="M155" s="145" t="str">
        <x:v>回溯与图论</x:v>
      </x:c>
      <x:c r="N155" s="165" t="str">
        <x:v>网格回溯</x:v>
      </x:c>
      <x:c r="O155" s="165" t="str">
        <x:v>Grind 75核心</x:v>
      </x:c>
      <x:c r="P155" s="171" t="n">
        <x:v>20</x:v>
      </x:c>
      <x:c r="Q155" s="151" t="str">
        <x:v>空白编辑器重写，禁止看旧代码，卡住五分钟后只看最小提示</x:v>
      </x:c>
      <x:c r="R155" s="145" t="str">
        <x:v>未开始</x:v>
      </x:c>
      <x:c r="S155" s="145"/>
      <x:c r="T155" s="177"/>
      <x:c r="U155" s="145"/>
      <x:c r="V155" s="151"/>
      <x:c r="W155" s="112" t="str">
        <x:v>https://leetcode.com/problems/word-search/</x:v>
      </x:c>
    </x:row>
    <x:row r="156" ht="34" customHeight="1">
      <x:c r="A156" s="99" t="n">
        <x:v>31</x:v>
      </x:c>
      <x:c r="B156" s="145" t="str">
        <x:v>阶段三 树图动态规划深化</x:v>
      </x:c>
      <x:c r="C156" s="145" t="n">
        <x:v>2</x:v>
      </x:c>
      <x:c r="D156" s="145" t="str">
        <x:v>新题</x:v>
      </x:c>
      <x:c r="E156" s="145" t="str">
        <x:v>主练一</x:v>
      </x:c>
      <x:c r="F156" s="145" t="n">
        <x:v>0</x:v>
      </x:c>
      <x:c r="G156" s="145" t="n">
        <x:v>0</x:v>
      </x:c>
      <x:c r="H156" s="145" t="n">
        <x:v>127</x:v>
      </x:c>
      <x:c r="I156" s="151" t="str">
        <x:v>单词接龙</x:v>
      </x:c>
      <x:c r="J156" s="151" t="str">
        <x:v>Word Ladder</x:v>
      </x:c>
      <x:c r="K156" s="145" t="str">
        <x:v>困难</x:v>
      </x:c>
      <x:c r="L156" s="145" t="str">
        <x:v>图与并查集</x:v>
      </x:c>
      <x:c r="M156" s="145" t="str">
        <x:v>图论</x:v>
      </x:c>
      <x:c r="N156" s="165" t="str">
        <x:v>广搜最短路</x:v>
      </x:c>
      <x:c r="O156" s="165" t="str">
        <x:v>Grind 75核心</x:v>
      </x:c>
      <x:c r="P156" s="171" t="n">
        <x:v>45</x:v>
      </x:c>
      <x:c r="Q156" s="151" t="str">
        <x:v>盲做并先口述暴力法与优化方向，到时停笔，完成后写复杂度、边界与可追问点</x:v>
      </x:c>
      <x:c r="R156" s="145" t="str">
        <x:v>未开始</x:v>
      </x:c>
      <x:c r="S156" s="145"/>
      <x:c r="T156" s="177"/>
      <x:c r="U156" s="145"/>
      <x:c r="V156" s="151"/>
      <x:c r="W156" s="112" t="str">
        <x:v>https://leetcode.com/problems/word-ladder/</x:v>
      </x:c>
    </x:row>
    <x:row r="157" ht="34" customHeight="1">
      <x:c r="A157" s="99" t="n">
        <x:v>31</x:v>
      </x:c>
      <x:c r="B157" s="145" t="str">
        <x:v>阶段三 树图动态规划深化</x:v>
      </x:c>
      <x:c r="C157" s="145" t="n">
        <x:v>3</x:v>
      </x:c>
      <x:c r="D157" s="145" t="str">
        <x:v>长间隔复做</x:v>
      </x:c>
      <x:c r="E157" s="145" t="str">
        <x:v>交错复盘</x:v>
      </x:c>
      <x:c r="F157" s="145" t="n">
        <x:v>24</x:v>
      </x:c>
      <x:c r="G157" s="145" t="n">
        <x:v>19</x:v>
      </x:c>
      <x:c r="H157" s="145" t="n">
        <x:v>543</x:v>
      </x:c>
      <x:c r="I157" s="151" t="str">
        <x:v>二叉树的直径</x:v>
      </x:c>
      <x:c r="J157" s="151" t="str">
        <x:v>Diameter of Binary Tree</x:v>
      </x:c>
      <x:c r="K157" s="145" t="str">
        <x:v>简单</x:v>
      </x:c>
      <x:c r="L157" s="145" t="str">
        <x:v>树与递归</x:v>
      </x:c>
      <x:c r="M157" s="145" t="str">
        <x:v>二叉树</x:v>
      </x:c>
      <x:c r="N157" s="165" t="str">
        <x:v>树形动态规划</x:v>
      </x:c>
      <x:c r="O157" s="165" t="str">
        <x:v>Grind 75核心</x:v>
      </x:c>
      <x:c r="P157" s="171" t="n">
        <x:v>15</x:v>
      </x:c>
      <x:c r="Q157" s="151" t="str">
        <x:v>严格限时独立完成，先说模式与不变量，再回答复杂度和替代方案</x:v>
      </x:c>
      <x:c r="R157" s="145" t="str">
        <x:v>未开始</x:v>
      </x:c>
      <x:c r="S157" s="145"/>
      <x:c r="T157" s="177"/>
      <x:c r="U157" s="145"/>
      <x:c r="V157" s="151"/>
      <x:c r="W157" s="112" t="str">
        <x:v>https://leetcode.com/problems/diameter-of-binary-tree/</x:v>
      </x:c>
    </x:row>
    <x:row r="158" ht="34" customHeight="1">
      <x:c r="A158" s="99" t="n">
        <x:v>31</x:v>
      </x:c>
      <x:c r="B158" s="145" t="str">
        <x:v>阶段三 树图动态规划深化</x:v>
      </x:c>
      <x:c r="C158" s="145" t="n">
        <x:v>4</x:v>
      </x:c>
      <x:c r="D158" s="145" t="str">
        <x:v>新题</x:v>
      </x:c>
      <x:c r="E158" s="145" t="str">
        <x:v>主练二</x:v>
      </x:c>
      <x:c r="F158" s="145" t="n">
        <x:v>0</x:v>
      </x:c>
      <x:c r="G158" s="145" t="n">
        <x:v>0</x:v>
      </x:c>
      <x:c r="H158" s="145" t="n">
        <x:v>224</x:v>
      </x:c>
      <x:c r="I158" s="151" t="str">
        <x:v>基本计算器</x:v>
      </x:c>
      <x:c r="J158" s="151" t="str">
        <x:v>Basic Calculator</x:v>
      </x:c>
      <x:c r="K158" s="145" t="str">
        <x:v>困难</x:v>
      </x:c>
      <x:c r="L158" s="145" t="str">
        <x:v>栈与队列</x:v>
      </x:c>
      <x:c r="M158" s="145" t="str">
        <x:v>栈与队列</x:v>
      </x:c>
      <x:c r="N158" s="165" t="str">
        <x:v>表达式解析</x:v>
      </x:c>
      <x:c r="O158" s="165" t="str">
        <x:v>Grind 75核心</x:v>
      </x:c>
      <x:c r="P158" s="171" t="n">
        <x:v>40</x:v>
      </x:c>
      <x:c r="Q158" s="151" t="str">
        <x:v>盲做并先口述暴力法与优化方向，到时停笔，完成后写复杂度、边界与可追问点</x:v>
      </x:c>
      <x:c r="R158" s="145" t="str">
        <x:v>未开始</x:v>
      </x:c>
      <x:c r="S158" s="145"/>
      <x:c r="T158" s="177"/>
      <x:c r="U158" s="145"/>
      <x:c r="V158" s="151"/>
      <x:c r="W158" s="112" t="str">
        <x:v>https://leetcode.com/problems/basic-calculator/</x:v>
      </x:c>
    </x:row>
    <x:row r="159" ht="34" customHeight="1">
      <x:c r="A159" s="99" t="n">
        <x:v>31</x:v>
      </x:c>
      <x:c r="B159" s="145" t="str">
        <x:v>阶段三 树图动态规划深化</x:v>
      </x:c>
      <x:c r="C159" s="145" t="n">
        <x:v>5</x:v>
      </x:c>
      <x:c r="D159" s="145" t="str">
        <x:v>长间隔复做</x:v>
      </x:c>
      <x:c r="E159" s="145" t="str">
        <x:v>长间隔复做</x:v>
      </x:c>
      <x:c r="F159" s="145" t="n">
        <x:v>24</x:v>
      </x:c>
      <x:c r="G159" s="145" t="n">
        <x:v>20</x:v>
      </x:c>
      <x:c r="H159" s="145" t="n">
        <x:v>876</x:v>
      </x:c>
      <x:c r="I159" s="151" t="str">
        <x:v>链表的中间结点</x:v>
      </x:c>
      <x:c r="J159" s="151" t="str">
        <x:v>Middle of the Linked List</x:v>
      </x:c>
      <x:c r="K159" s="145" t="str">
        <x:v>简单</x:v>
      </x:c>
      <x:c r="L159" s="145" t="str">
        <x:v>链表</x:v>
      </x:c>
      <x:c r="M159" s="145" t="str">
        <x:v>链表</x:v>
      </x:c>
      <x:c r="N159" s="165" t="str">
        <x:v>快慢指针</x:v>
      </x:c>
      <x:c r="O159" s="165" t="str">
        <x:v>Grind 75核心</x:v>
      </x:c>
      <x:c r="P159" s="171" t="n">
        <x:v>10</x:v>
      </x:c>
      <x:c r="Q159" s="151" t="str">
        <x:v>严格限时独立完成，先说模式与不变量，再回答复杂度和替代方案</x:v>
      </x:c>
      <x:c r="R159" s="145" t="str">
        <x:v>未开始</x:v>
      </x:c>
      <x:c r="S159" s="145"/>
      <x:c r="T159" s="177"/>
      <x:c r="U159" s="145"/>
      <x:c r="V159" s="151"/>
      <x:c r="W159" s="112" t="str">
        <x:v>https://leetcode.com/problems/middle-of-the-linked-list/</x:v>
      </x:c>
    </x:row>
    <x:row r="160" ht="34" customHeight="1">
      <x:c r="A160" s="99" t="n">
        <x:v>32</x:v>
      </x:c>
      <x:c r="B160" s="145" t="str">
        <x:v>阶段三 树图动态规划深化</x:v>
      </x:c>
      <x:c r="C160" s="145" t="n">
        <x:v>1</x:v>
      </x:c>
      <x:c r="D160" s="145" t="str">
        <x:v>短间隔复做</x:v>
      </x:c>
      <x:c r="E160" s="145" t="str">
        <x:v>主动回忆热身</x:v>
      </x:c>
      <x:c r="F160" s="145" t="n">
        <x:v>6</x:v>
      </x:c>
      <x:c r="G160" s="145" t="n">
        <x:v>6</x:v>
      </x:c>
      <x:c r="H160" s="145" t="n">
        <x:v>438</x:v>
      </x:c>
      <x:c r="I160" s="151" t="str">
        <x:v>找到字符串中所有字母异位词</x:v>
      </x:c>
      <x:c r="J160" s="151" t="str">
        <x:v>Find All Anagrams in a String</x:v>
      </x:c>
      <x:c r="K160" s="145" t="str">
        <x:v>中等</x:v>
      </x:c>
      <x:c r="L160" s="145" t="str">
        <x:v>滑动窗口与单调队列</x:v>
      </x:c>
      <x:c r="M160" s="145" t="str">
        <x:v>滑动窗口</x:v>
      </x:c>
      <x:c r="N160" s="165" t="str">
        <x:v>定长窗口与频次</x:v>
      </x:c>
      <x:c r="O160" s="165" t="str">
        <x:v>Grind 75核心</x:v>
      </x:c>
      <x:c r="P160" s="171" t="n">
        <x:v>20</x:v>
      </x:c>
      <x:c r="Q160" s="151" t="str">
        <x:v>空白编辑器重写，禁止看旧代码，卡住五分钟后只看最小提示</x:v>
      </x:c>
      <x:c r="R160" s="145" t="str">
        <x:v>未开始</x:v>
      </x:c>
      <x:c r="S160" s="145"/>
      <x:c r="T160" s="177"/>
      <x:c r="U160" s="145"/>
      <x:c r="V160" s="151"/>
      <x:c r="W160" s="112" t="str">
        <x:v>https://leetcode.com/problems/find-all-anagrams-in-a-string/</x:v>
      </x:c>
    </x:row>
    <x:row r="161" ht="34" customHeight="1">
      <x:c r="A161" s="99" t="n">
        <x:v>32</x:v>
      </x:c>
      <x:c r="B161" s="145" t="str">
        <x:v>阶段三 树图动态规划深化</x:v>
      </x:c>
      <x:c r="C161" s="145" t="n">
        <x:v>2</x:v>
      </x:c>
      <x:c r="D161" s="145" t="str">
        <x:v>新题</x:v>
      </x:c>
      <x:c r="E161" s="145" t="str">
        <x:v>主练一</x:v>
      </x:c>
      <x:c r="F161" s="145" t="n">
        <x:v>0</x:v>
      </x:c>
      <x:c r="G161" s="145" t="n">
        <x:v>0</x:v>
      </x:c>
      <x:c r="H161" s="145" t="n">
        <x:v>1235</x:v>
      </x:c>
      <x:c r="I161" s="151" t="str">
        <x:v>规划兼职工作</x:v>
      </x:c>
      <x:c r="J161" s="151" t="str">
        <x:v>Maximum Profit in Job Scheduling</x:v>
      </x:c>
      <x:c r="K161" s="145" t="str">
        <x:v>困难</x:v>
      </x:c>
      <x:c r="L161" s="145" t="str">
        <x:v>动态规划</x:v>
      </x:c>
      <x:c r="M161" s="145" t="str">
        <x:v>动态规划与二分</x:v>
      </x:c>
      <x:c r="N161" s="165" t="str">
        <x:v>加权区间调度</x:v>
      </x:c>
      <x:c r="O161" s="165" t="str">
        <x:v>Grind 75核心</x:v>
      </x:c>
      <x:c r="P161" s="171" t="n">
        <x:v>45</x:v>
      </x:c>
      <x:c r="Q161" s="151" t="str">
        <x:v>盲做并先口述暴力法与优化方向，到时停笔，完成后写复杂度、边界与可追问点</x:v>
      </x:c>
      <x:c r="R161" s="145" t="str">
        <x:v>未开始</x:v>
      </x:c>
      <x:c r="S161" s="145"/>
      <x:c r="T161" s="177"/>
      <x:c r="U161" s="145"/>
      <x:c r="V161" s="151"/>
      <x:c r="W161" s="112" t="str">
        <x:v>https://leetcode.com/problems/maximum-profit-in-job-scheduling/</x:v>
      </x:c>
    </x:row>
    <x:row r="162" ht="34" customHeight="1">
      <x:c r="A162" s="99" t="n">
        <x:v>32</x:v>
      </x:c>
      <x:c r="B162" s="145" t="str">
        <x:v>阶段三 树图动态规划深化</x:v>
      </x:c>
      <x:c r="C162" s="145" t="n">
        <x:v>3</x:v>
      </x:c>
      <x:c r="D162" s="145" t="str">
        <x:v>长间隔复做</x:v>
      </x:c>
      <x:c r="E162" s="145" t="str">
        <x:v>交错复盘</x:v>
      </x:c>
      <x:c r="F162" s="145" t="n">
        <x:v>25</x:v>
      </x:c>
      <x:c r="G162" s="145" t="n">
        <x:v>20</x:v>
      </x:c>
      <x:c r="H162" s="145" t="n">
        <x:v>104</x:v>
      </x:c>
      <x:c r="I162" s="151" t="str">
        <x:v>二叉树的最大深度</x:v>
      </x:c>
      <x:c r="J162" s="151" t="str">
        <x:v>Maximum Depth of Binary Tree</x:v>
      </x:c>
      <x:c r="K162" s="145" t="str">
        <x:v>简单</x:v>
      </x:c>
      <x:c r="L162" s="145" t="str">
        <x:v>树与递归</x:v>
      </x:c>
      <x:c r="M162" s="145" t="str">
        <x:v>二叉树</x:v>
      </x:c>
      <x:c r="N162" s="165" t="str">
        <x:v>深搜或层序遍历</x:v>
      </x:c>
      <x:c r="O162" s="165" t="str">
        <x:v>Grind 75核心</x:v>
      </x:c>
      <x:c r="P162" s="171" t="n">
        <x:v>10</x:v>
      </x:c>
      <x:c r="Q162" s="151" t="str">
        <x:v>严格限时独立完成，先说模式与不变量，再回答复杂度和替代方案</x:v>
      </x:c>
      <x:c r="R162" s="145" t="str">
        <x:v>未开始</x:v>
      </x:c>
      <x:c r="S162" s="145"/>
      <x:c r="T162" s="177"/>
      <x:c r="U162" s="145"/>
      <x:c r="V162" s="151"/>
      <x:c r="W162" s="112" t="str">
        <x:v>https://leetcode.com/problems/maximum-depth-of-binary-tree/</x:v>
      </x:c>
    </x:row>
    <x:row r="163" ht="34" customHeight="1">
      <x:c r="A163" s="99" t="n">
        <x:v>32</x:v>
      </x:c>
      <x:c r="B163" s="145" t="str">
        <x:v>阶段三 树图动态规划深化</x:v>
      </x:c>
      <x:c r="C163" s="145" t="n">
        <x:v>4</x:v>
      </x:c>
      <x:c r="D163" s="145" t="str">
        <x:v>新题</x:v>
      </x:c>
      <x:c r="E163" s="145" t="str">
        <x:v>主练二</x:v>
      </x:c>
      <x:c r="F163" s="145" t="n">
        <x:v>0</x:v>
      </x:c>
      <x:c r="G163" s="145" t="n">
        <x:v>0</x:v>
      </x:c>
      <x:c r="H163" s="145" t="n">
        <x:v>23</x:v>
      </x:c>
      <x:c r="I163" s="151" t="str">
        <x:v>合并K个升序链表</x:v>
      </x:c>
      <x:c r="J163" s="151" t="str">
        <x:v>Merge k Sorted Lists</x:v>
      </x:c>
      <x:c r="K163" s="145" t="str">
        <x:v>困难</x:v>
      </x:c>
      <x:c r="L163" s="145" t="str">
        <x:v>堆与优先队列</x:v>
      </x:c>
      <x:c r="M163" s="145" t="str">
        <x:v>堆与链表</x:v>
      </x:c>
      <x:c r="N163" s="165" t="str">
        <x:v>多路归并</x:v>
      </x:c>
      <x:c r="O163" s="165" t="str">
        <x:v>Grind 75核心</x:v>
      </x:c>
      <x:c r="P163" s="171" t="n">
        <x:v>30</x:v>
      </x:c>
      <x:c r="Q163" s="151" t="str">
        <x:v>盲做并先口述暴力法与优化方向，到时停笔，完成后写复杂度、边界与可追问点</x:v>
      </x:c>
      <x:c r="R163" s="145" t="str">
        <x:v>未开始</x:v>
      </x:c>
      <x:c r="S163" s="145"/>
      <x:c r="T163" s="177"/>
      <x:c r="U163" s="145"/>
      <x:c r="V163" s="151"/>
      <x:c r="W163" s="112" t="str">
        <x:v>https://leetcode.com/problems/merge-k-sorted-lists/</x:v>
      </x:c>
    </x:row>
    <x:row r="164" ht="34" customHeight="1">
      <x:c r="A164" s="99" t="n">
        <x:v>32</x:v>
      </x:c>
      <x:c r="B164" s="145" t="str">
        <x:v>阶段三 树图动态规划深化</x:v>
      </x:c>
      <x:c r="C164" s="145" t="n">
        <x:v>5</x:v>
      </x:c>
      <x:c r="D164" s="145" t="str">
        <x:v>长间隔复做</x:v>
      </x:c>
      <x:c r="E164" s="145" t="str">
        <x:v>长间隔复做</x:v>
      </x:c>
      <x:c r="F164" s="145" t="n">
        <x:v>24</x:v>
      </x:c>
      <x:c r="G164" s="145" t="n">
        <x:v>21</x:v>
      </x:c>
      <x:c r="H164" s="145" t="n">
        <x:v>217</x:v>
      </x:c>
      <x:c r="I164" s="151" t="str">
        <x:v>存在重复元素</x:v>
      </x:c>
      <x:c r="J164" s="151" t="str">
        <x:v>Contains Duplicate</x:v>
      </x:c>
      <x:c r="K164" s="145" t="str">
        <x:v>简单</x:v>
      </x:c>
      <x:c r="L164" s="145" t="str">
        <x:v>数组与哈希</x:v>
      </x:c>
      <x:c r="M164" s="145" t="str">
        <x:v>数组与哈希</x:v>
      </x:c>
      <x:c r="N164" s="165" t="str">
        <x:v>集合去重</x:v>
      </x:c>
      <x:c r="O164" s="165" t="str">
        <x:v>Grind 75核心</x:v>
      </x:c>
      <x:c r="P164" s="171" t="n">
        <x:v>10</x:v>
      </x:c>
      <x:c r="Q164" s="151" t="str">
        <x:v>严格限时独立完成，先说模式与不变量，再回答复杂度和替代方案</x:v>
      </x:c>
      <x:c r="R164" s="145" t="str">
        <x:v>未开始</x:v>
      </x:c>
      <x:c r="S164" s="145"/>
      <x:c r="T164" s="177"/>
      <x:c r="U164" s="145"/>
      <x:c r="V164" s="151"/>
      <x:c r="W164" s="112" t="str">
        <x:v>https://leetcode.com/problems/contains-duplicate/</x:v>
      </x:c>
    </x:row>
    <x:row r="165" ht="34" customHeight="1">
      <x:c r="A165" s="99" t="n">
        <x:v>33</x:v>
      </x:c>
      <x:c r="B165" s="145" t="str">
        <x:v>阶段三 树图动态规划深化</x:v>
      </x:c>
      <x:c r="C165" s="145" t="n">
        <x:v>1</x:v>
      </x:c>
      <x:c r="D165" s="145" t="str">
        <x:v>短间隔复做</x:v>
      </x:c>
      <x:c r="E165" s="145" t="str">
        <x:v>主动回忆热身</x:v>
      </x:c>
      <x:c r="F165" s="145" t="n">
        <x:v>6</x:v>
      </x:c>
      <x:c r="G165" s="145" t="n">
        <x:v>6</x:v>
      </x:c>
      <x:c r="H165" s="145" t="n">
        <x:v>310</x:v>
      </x:c>
      <x:c r="I165" s="151" t="str">
        <x:v>最小高度树</x:v>
      </x:c>
      <x:c r="J165" s="151" t="str">
        <x:v>Minimum Height Trees</x:v>
      </x:c>
      <x:c r="K165" s="145" t="str">
        <x:v>中等</x:v>
      </x:c>
      <x:c r="L165" s="145" t="str">
        <x:v>图与并查集</x:v>
      </x:c>
      <x:c r="M165" s="145" t="str">
        <x:v>图论</x:v>
      </x:c>
      <x:c r="N165" s="165" t="str">
        <x:v>拓扑剥叶</x:v>
      </x:c>
      <x:c r="O165" s="165" t="str">
        <x:v>Grind 75核心</x:v>
      </x:c>
      <x:c r="P165" s="171" t="n">
        <x:v>20</x:v>
      </x:c>
      <x:c r="Q165" s="151" t="str">
        <x:v>空白编辑器重写，禁止看旧代码，卡住五分钟后只看最小提示</x:v>
      </x:c>
      <x:c r="R165" s="145" t="str">
        <x:v>未开始</x:v>
      </x:c>
      <x:c r="S165" s="145"/>
      <x:c r="T165" s="177"/>
      <x:c r="U165" s="145"/>
      <x:c r="V165" s="151"/>
      <x:c r="W165" s="112" t="str">
        <x:v>https://leetcode.com/problems/minimum-height-trees/</x:v>
      </x:c>
    </x:row>
    <x:row r="166" ht="34" customHeight="1">
      <x:c r="A166" s="99" t="n">
        <x:v>33</x:v>
      </x:c>
      <x:c r="B166" s="145" t="str">
        <x:v>阶段三 树图动态规划深化</x:v>
      </x:c>
      <x:c r="C166" s="145" t="n">
        <x:v>2</x:v>
      </x:c>
      <x:c r="D166" s="145" t="str">
        <x:v>新题</x:v>
      </x:c>
      <x:c r="E166" s="145" t="str">
        <x:v>主练一</x:v>
      </x:c>
      <x:c r="F166" s="145" t="n">
        <x:v>0</x:v>
      </x:c>
      <x:c r="G166" s="145" t="n">
        <x:v>0</x:v>
      </x:c>
      <x:c r="H166" s="145" t="n">
        <x:v>84</x:v>
      </x:c>
      <x:c r="I166" s="151" t="str">
        <x:v>柱状图中最大的矩形</x:v>
      </x:c>
      <x:c r="J166" s="151" t="str">
        <x:v>Largest Rectangle in Histogram</x:v>
      </x:c>
      <x:c r="K166" s="145" t="str">
        <x:v>困难</x:v>
      </x:c>
      <x:c r="L166" s="145" t="str">
        <x:v>单调栈</x:v>
      </x:c>
      <x:c r="M166" s="145" t="str">
        <x:v>单调栈</x:v>
      </x:c>
      <x:c r="N166" s="165" t="str">
        <x:v>寻找左右第一个更小值</x:v>
      </x:c>
      <x:c r="O166" s="165" t="str">
        <x:v>Grind 75核心</x:v>
      </x:c>
      <x:c r="P166" s="171" t="n">
        <x:v>35</x:v>
      </x:c>
      <x:c r="Q166" s="151" t="str">
        <x:v>盲做并先口述暴力法与优化方向，到时停笔，完成后写复杂度、边界与可追问点</x:v>
      </x:c>
      <x:c r="R166" s="145" t="str">
        <x:v>未开始</x:v>
      </x:c>
      <x:c r="S166" s="145"/>
      <x:c r="T166" s="177"/>
      <x:c r="U166" s="145"/>
      <x:c r="V166" s="151"/>
      <x:c r="W166" s="112" t="str">
        <x:v>https://leetcode.com/problems/largest-rectangle-in-histogram/</x:v>
      </x:c>
    </x:row>
    <x:row r="167" ht="34" customHeight="1">
      <x:c r="A167" s="99" t="n">
        <x:v>33</x:v>
      </x:c>
      <x:c r="B167" s="145" t="str">
        <x:v>阶段三 树图动态规划深化</x:v>
      </x:c>
      <x:c r="C167" s="145" t="n">
        <x:v>3</x:v>
      </x:c>
      <x:c r="D167" s="145" t="str">
        <x:v>长间隔复做</x:v>
      </x:c>
      <x:c r="E167" s="145" t="str">
        <x:v>交错复盘</x:v>
      </x:c>
      <x:c r="F167" s="145" t="n">
        <x:v>25</x:v>
      </x:c>
      <x:c r="G167" s="145" t="n">
        <x:v>22</x:v>
      </x:c>
      <x:c r="H167" s="145" t="n">
        <x:v>53</x:v>
      </x:c>
      <x:c r="I167" s="151" t="str">
        <x:v>最大子数组和</x:v>
      </x:c>
      <x:c r="J167" s="151" t="str">
        <x:v>Maximum Subarray</x:v>
      </x:c>
      <x:c r="K167" s="145" t="str">
        <x:v>中等</x:v>
      </x:c>
      <x:c r="L167" s="145" t="str">
        <x:v>动态规划</x:v>
      </x:c>
      <x:c r="M167" s="145" t="str">
        <x:v>动态规划</x:v>
      </x:c>
      <x:c r="N167" s="165" t="str">
        <x:v>Kadane状态转移</x:v>
      </x:c>
      <x:c r="O167" s="165" t="str">
        <x:v>Grind 75核心</x:v>
      </x:c>
      <x:c r="P167" s="171" t="n">
        <x:v>10</x:v>
      </x:c>
      <x:c r="Q167" s="151" t="str">
        <x:v>严格限时独立完成，先说模式与不变量，再回答复杂度和替代方案</x:v>
      </x:c>
      <x:c r="R167" s="145" t="str">
        <x:v>未开始</x:v>
      </x:c>
      <x:c r="S167" s="145"/>
      <x:c r="T167" s="177"/>
      <x:c r="U167" s="145"/>
      <x:c r="V167" s="151"/>
      <x:c r="W167" s="112" t="str">
        <x:v>https://leetcode.com/problems/maximum-subarray/</x:v>
      </x:c>
    </x:row>
    <x:row r="168" ht="34" customHeight="1">
      <x:c r="A168" s="99" t="n">
        <x:v>33</x:v>
      </x:c>
      <x:c r="B168" s="145" t="str">
        <x:v>阶段三 树图动态规划深化</x:v>
      </x:c>
      <x:c r="C168" s="145" t="n">
        <x:v>4</x:v>
      </x:c>
      <x:c r="D168" s="145" t="str">
        <x:v>新题</x:v>
      </x:c>
      <x:c r="E168" s="145" t="str">
        <x:v>主练二</x:v>
      </x:c>
      <x:c r="F168" s="145" t="n">
        <x:v>0</x:v>
      </x:c>
      <x:c r="G168" s="145" t="n">
        <x:v>0</x:v>
      </x:c>
      <x:c r="H168" s="145" t="n">
        <x:v>27</x:v>
      </x:c>
      <x:c r="I168" s="151" t="str">
        <x:v>移除元素</x:v>
      </x:c>
      <x:c r="J168" s="151" t="str">
        <x:v>Remove Element</x:v>
      </x:c>
      <x:c r="K168" s="145" t="str">
        <x:v>简单</x:v>
      </x:c>
      <x:c r="L168" s="145" t="str">
        <x:v>双指针</x:v>
      </x:c>
      <x:c r="M168" s="145" t="str">
        <x:v>双指针</x:v>
      </x:c>
      <x:c r="N168" s="165" t="str">
        <x:v>快慢指针原地覆盖</x:v>
      </x:c>
      <x:c r="O168" s="165" t="str">
        <x:v>代码随想录补充</x:v>
      </x:c>
      <x:c r="P168" s="171" t="n">
        <x:v>15</x:v>
      </x:c>
      <x:c r="Q168" s="151" t="str">
        <x:v>盲做并先口述暴力法与优化方向，到时停笔，完成后写复杂度、边界与可追问点</x:v>
      </x:c>
      <x:c r="R168" s="145" t="str">
        <x:v>未开始</x:v>
      </x:c>
      <x:c r="S168" s="145"/>
      <x:c r="T168" s="177"/>
      <x:c r="U168" s="145"/>
      <x:c r="V168" s="151"/>
      <x:c r="W168" s="112" t="str">
        <x:v>https://leetcode.com/problems/remove-element/</x:v>
      </x:c>
    </x:row>
    <x:row r="169" ht="34" customHeight="1">
      <x:c r="A169" s="99" t="n">
        <x:v>33</x:v>
      </x:c>
      <x:c r="B169" s="145" t="str">
        <x:v>阶段三 树图动态规划深化</x:v>
      </x:c>
      <x:c r="C169" s="145" t="n">
        <x:v>5</x:v>
      </x:c>
      <x:c r="D169" s="145" t="str">
        <x:v>长间隔复做</x:v>
      </x:c>
      <x:c r="E169" s="145" t="str">
        <x:v>长间隔复做</x:v>
      </x:c>
      <x:c r="F169" s="145" t="n">
        <x:v>25</x:v>
      </x:c>
      <x:c r="G169" s="145" t="n">
        <x:v>21</x:v>
      </x:c>
      <x:c r="H169" s="145" t="n">
        <x:v>57</x:v>
      </x:c>
      <x:c r="I169" s="151" t="str">
        <x:v>插入区间</x:v>
      </x:c>
      <x:c r="J169" s="151" t="str">
        <x:v>Insert Interval</x:v>
      </x:c>
      <x:c r="K169" s="145" t="str">
        <x:v>中等</x:v>
      </x:c>
      <x:c r="L169" s="145" t="str">
        <x:v>贪心与区间</x:v>
      </x:c>
      <x:c r="M169" s="145" t="str">
        <x:v>区间与贪心</x:v>
      </x:c>
      <x:c r="N169" s="165" t="str">
        <x:v>区间分类与合并</x:v>
      </x:c>
      <x:c r="O169" s="165" t="str">
        <x:v>Grind 75核心</x:v>
      </x:c>
      <x:c r="P169" s="171" t="n">
        <x:v>12</x:v>
      </x:c>
      <x:c r="Q169" s="151" t="str">
        <x:v>严格限时独立完成，先说模式与不变量，再回答复杂度和替代方案</x:v>
      </x:c>
      <x:c r="R169" s="145" t="str">
        <x:v>未开始</x:v>
      </x:c>
      <x:c r="S169" s="145"/>
      <x:c r="T169" s="177"/>
      <x:c r="U169" s="145"/>
      <x:c r="V169" s="151"/>
      <x:c r="W169" s="112" t="str">
        <x:v>https://leetcode.com/problems/insert-interval/</x:v>
      </x:c>
    </x:row>
    <x:row r="170" ht="34" customHeight="1">
      <x:c r="A170" s="99" t="n">
        <x:v>34</x:v>
      </x:c>
      <x:c r="B170" s="145" t="str">
        <x:v>阶段四 专题补强与难题</x:v>
      </x:c>
      <x:c r="C170" s="145" t="n">
        <x:v>1</x:v>
      </x:c>
      <x:c r="D170" s="145" t="str">
        <x:v>短间隔复做</x:v>
      </x:c>
      <x:c r="E170" s="145" t="str">
        <x:v>主动回忆热身</x:v>
      </x:c>
      <x:c r="F170" s="145" t="n">
        <x:v>7</x:v>
      </x:c>
      <x:c r="G170" s="145" t="n">
        <x:v>7</x:v>
      </x:c>
      <x:c r="H170" s="145" t="n">
        <x:v>621</x:v>
      </x:c>
      <x:c r="I170" s="151" t="str">
        <x:v>任务调度器</x:v>
      </x:c>
      <x:c r="J170" s="151" t="str">
        <x:v>Task Scheduler</x:v>
      </x:c>
      <x:c r="K170" s="145" t="str">
        <x:v>中等</x:v>
      </x:c>
      <x:c r="L170" s="145" t="str">
        <x:v>堆与优先队列</x:v>
      </x:c>
      <x:c r="M170" s="145" t="str">
        <x:v>堆与贪心</x:v>
      </x:c>
      <x:c r="N170" s="165" t="str">
        <x:v>频次计数与调度</x:v>
      </x:c>
      <x:c r="O170" s="165" t="str">
        <x:v>Grind 75核心</x:v>
      </x:c>
      <x:c r="P170" s="171" t="n">
        <x:v>23</x:v>
      </x:c>
      <x:c r="Q170" s="151" t="str">
        <x:v>空白编辑器重写，禁止看旧代码，卡住五分钟后只看最小提示</x:v>
      </x:c>
      <x:c r="R170" s="145" t="str">
        <x:v>未开始</x:v>
      </x:c>
      <x:c r="S170" s="145"/>
      <x:c r="T170" s="177"/>
      <x:c r="U170" s="145"/>
      <x:c r="V170" s="151"/>
      <x:c r="W170" s="112" t="str">
        <x:v>https://leetcode.com/problems/task-scheduler/</x:v>
      </x:c>
    </x:row>
    <x:row r="171" ht="34" customHeight="1">
      <x:c r="A171" s="99" t="n">
        <x:v>34</x:v>
      </x:c>
      <x:c r="B171" s="145" t="str">
        <x:v>阶段四 专题补强与难题</x:v>
      </x:c>
      <x:c r="C171" s="145" t="n">
        <x:v>2</x:v>
      </x:c>
      <x:c r="D171" s="145" t="str">
        <x:v>新题</x:v>
      </x:c>
      <x:c r="E171" s="145" t="str">
        <x:v>主练一</x:v>
      </x:c>
      <x:c r="F171" s="145" t="n">
        <x:v>0</x:v>
      </x:c>
      <x:c r="G171" s="145" t="n">
        <x:v>0</x:v>
      </x:c>
      <x:c r="H171" s="145" t="n">
        <x:v>209</x:v>
      </x:c>
      <x:c r="I171" s="151" t="str">
        <x:v>长度最小的子数组</x:v>
      </x:c>
      <x:c r="J171" s="151" t="str">
        <x:v>Minimum Size Subarray Sum</x:v>
      </x:c>
      <x:c r="K171" s="145" t="str">
        <x:v>中等</x:v>
      </x:c>
      <x:c r="L171" s="145" t="str">
        <x:v>滑动窗口与单调队列</x:v>
      </x:c>
      <x:c r="M171" s="145" t="str">
        <x:v>滑动窗口</x:v>
      </x:c>
      <x:c r="N171" s="165" t="str">
        <x:v>最短满足窗口</x:v>
      </x:c>
      <x:c r="O171" s="165" t="str">
        <x:v>代码随想录补充</x:v>
      </x:c>
      <x:c r="P171" s="171" t="n">
        <x:v>25</x:v>
      </x:c>
      <x:c r="Q171" s="151" t="str">
        <x:v>盲做并先口述暴力法与优化方向，到时停笔，完成后写复杂度、边界与可追问点</x:v>
      </x:c>
      <x:c r="R171" s="145" t="str">
        <x:v>未开始</x:v>
      </x:c>
      <x:c r="S171" s="145"/>
      <x:c r="T171" s="177"/>
      <x:c r="U171" s="145"/>
      <x:c r="V171" s="151"/>
      <x:c r="W171" s="112" t="str">
        <x:v>https://leetcode.com/problems/minimum-size-subarray-sum/</x:v>
      </x:c>
    </x:row>
    <x:row r="172" ht="34" customHeight="1">
      <x:c r="A172" s="99" t="n">
        <x:v>34</x:v>
      </x:c>
      <x:c r="B172" s="145" t="str">
        <x:v>阶段四 专题补强与难题</x:v>
      </x:c>
      <x:c r="C172" s="145" t="n">
        <x:v>3</x:v>
      </x:c>
      <x:c r="D172" s="145" t="str">
        <x:v>长间隔复做</x:v>
      </x:c>
      <x:c r="E172" s="145" t="str">
        <x:v>交错复盘</x:v>
      </x:c>
      <x:c r="F172" s="145" t="n">
        <x:v>25</x:v>
      </x:c>
      <x:c r="G172" s="145" t="n">
        <x:v>21</x:v>
      </x:c>
      <x:c r="H172" s="145" t="n">
        <x:v>542</x:v>
      </x:c>
      <x:c r="I172" s="151" t="str">
        <x:v>01矩阵</x:v>
      </x:c>
      <x:c r="J172" s="151" t="str">
        <x:v>01 Matrix</x:v>
      </x:c>
      <x:c r="K172" s="145" t="str">
        <x:v>中等</x:v>
      </x:c>
      <x:c r="L172" s="145" t="str">
        <x:v>图与并查集</x:v>
      </x:c>
      <x:c r="M172" s="145" t="str">
        <x:v>图论</x:v>
      </x:c>
      <x:c r="N172" s="165" t="str">
        <x:v>多源广搜</x:v>
      </x:c>
      <x:c r="O172" s="165" t="str">
        <x:v>Grind 75核心</x:v>
      </x:c>
      <x:c r="P172" s="171" t="n">
        <x:v>15</x:v>
      </x:c>
      <x:c r="Q172" s="151" t="str">
        <x:v>严格限时独立完成，先说模式与不变量，再回答复杂度和替代方案</x:v>
      </x:c>
      <x:c r="R172" s="145" t="str">
        <x:v>未开始</x:v>
      </x:c>
      <x:c r="S172" s="145"/>
      <x:c r="T172" s="177"/>
      <x:c r="U172" s="145"/>
      <x:c r="V172" s="151"/>
      <x:c r="W172" s="112" t="str">
        <x:v>https://leetcode.com/problems/01-matrix/</x:v>
      </x:c>
    </x:row>
    <x:row r="173" ht="34" customHeight="1">
      <x:c r="A173" s="99" t="n">
        <x:v>34</x:v>
      </x:c>
      <x:c r="B173" s="145" t="str">
        <x:v>阶段四 专题补强与难题</x:v>
      </x:c>
      <x:c r="C173" s="145" t="n">
        <x:v>4</x:v>
      </x:c>
      <x:c r="D173" s="145" t="str">
        <x:v>新题</x:v>
      </x:c>
      <x:c r="E173" s="145" t="str">
        <x:v>主练二</x:v>
      </x:c>
      <x:c r="F173" s="145" t="n">
        <x:v>0</x:v>
      </x:c>
      <x:c r="G173" s="145" t="n">
        <x:v>0</x:v>
      </x:c>
      <x:c r="H173" s="145" t="n">
        <x:v>19</x:v>
      </x:c>
      <x:c r="I173" s="151" t="str">
        <x:v>删除链表的倒数第N个结点</x:v>
      </x:c>
      <x:c r="J173" s="151" t="str">
        <x:v>Remove Nth Node From End of List</x:v>
      </x:c>
      <x:c r="K173" s="145" t="str">
        <x:v>中等</x:v>
      </x:c>
      <x:c r="L173" s="145" t="str">
        <x:v>链表</x:v>
      </x:c>
      <x:c r="M173" s="145" t="str">
        <x:v>链表</x:v>
      </x:c>
      <x:c r="N173" s="165" t="str">
        <x:v>快慢指针与虚拟头结点</x:v>
      </x:c>
      <x:c r="O173" s="165" t="str">
        <x:v>代码随想录补充</x:v>
      </x:c>
      <x:c r="P173" s="171" t="n">
        <x:v>25</x:v>
      </x:c>
      <x:c r="Q173" s="151" t="str">
        <x:v>盲做并先口述暴力法与优化方向，到时停笔，完成后写复杂度、边界与可追问点</x:v>
      </x:c>
      <x:c r="R173" s="145" t="str">
        <x:v>未开始</x:v>
      </x:c>
      <x:c r="S173" s="145"/>
      <x:c r="T173" s="177"/>
      <x:c r="U173" s="145"/>
      <x:c r="V173" s="151"/>
      <x:c r="W173" s="112" t="str">
        <x:v>https://leetcode.com/problems/remove-nth-node-from-end-of-list/</x:v>
      </x:c>
    </x:row>
    <x:row r="174" ht="34" customHeight="1">
      <x:c r="A174" s="99" t="n">
        <x:v>34</x:v>
      </x:c>
      <x:c r="B174" s="145" t="str">
        <x:v>阶段四 专题补强与难题</x:v>
      </x:c>
      <x:c r="C174" s="145" t="n">
        <x:v>5</x:v>
      </x:c>
      <x:c r="D174" s="145" t="str">
        <x:v>长间隔复做</x:v>
      </x:c>
      <x:c r="E174" s="145" t="str">
        <x:v>长间隔复做</x:v>
      </x:c>
      <x:c r="F174" s="145" t="n">
        <x:v>25</x:v>
      </x:c>
      <x:c r="G174" s="145" t="n">
        <x:v>21</x:v>
      </x:c>
      <x:c r="H174" s="145" t="n">
        <x:v>973</x:v>
      </x:c>
      <x:c r="I174" s="151" t="str">
        <x:v>最接近原点的K个点</x:v>
      </x:c>
      <x:c r="J174" s="151" t="str">
        <x:v>K Closest Points to Origin</x:v>
      </x:c>
      <x:c r="K174" s="145" t="str">
        <x:v>中等</x:v>
      </x:c>
      <x:c r="L174" s="145" t="str">
        <x:v>堆与优先队列</x:v>
      </x:c>
      <x:c r="M174" s="145" t="str">
        <x:v>堆与优先队列</x:v>
      </x:c>
      <x:c r="N174" s="165" t="str">
        <x:v>Top K与堆</x:v>
      </x:c>
      <x:c r="O174" s="165" t="str">
        <x:v>Grind 75核心</x:v>
      </x:c>
      <x:c r="P174" s="171" t="n">
        <x:v>15</x:v>
      </x:c>
      <x:c r="Q174" s="151" t="str">
        <x:v>严格限时独立完成，先说模式与不变量，再回答复杂度和替代方案</x:v>
      </x:c>
      <x:c r="R174" s="145" t="str">
        <x:v>未开始</x:v>
      </x:c>
      <x:c r="S174" s="145"/>
      <x:c r="T174" s="177"/>
      <x:c r="U174" s="145"/>
      <x:c r="V174" s="151"/>
      <x:c r="W174" s="112" t="str">
        <x:v>https://leetcode.com/problems/k-closest-points-to-origin/</x:v>
      </x:c>
    </x:row>
    <x:row r="175" ht="34" customHeight="1">
      <x:c r="A175" s="99" t="n">
        <x:v>35</x:v>
      </x:c>
      <x:c r="B175" s="145" t="str">
        <x:v>阶段四 专题补强与难题</x:v>
      </x:c>
      <x:c r="C175" s="145" t="n">
        <x:v>1</x:v>
      </x:c>
      <x:c r="D175" s="145" t="str">
        <x:v>短间隔复做</x:v>
      </x:c>
      <x:c r="E175" s="145" t="str">
        <x:v>主动回忆热身</x:v>
      </x:c>
      <x:c r="F175" s="145" t="n">
        <x:v>7</x:v>
      </x:c>
      <x:c r="G175" s="145" t="n">
        <x:v>7</x:v>
      </x:c>
      <x:c r="H175" s="145" t="n">
        <x:v>146</x:v>
      </x:c>
      <x:c r="I175" s="151" t="str">
        <x:v>LRU缓存</x:v>
      </x:c>
      <x:c r="J175" s="151" t="str">
        <x:v>LRU Cache</x:v>
      </x:c>
      <x:c r="K175" s="145" t="str">
        <x:v>中等</x:v>
      </x:c>
      <x:c r="L175" s="145" t="str">
        <x:v>设计</x:v>
      </x:c>
      <x:c r="M175" s="145" t="str">
        <x:v>设计</x:v>
      </x:c>
      <x:c r="N175" s="165" t="str">
        <x:v>哈希表与双向链表</x:v>
      </x:c>
      <x:c r="O175" s="165" t="str">
        <x:v>Grind 75核心</x:v>
      </x:c>
      <x:c r="P175" s="171" t="n">
        <x:v>20</x:v>
      </x:c>
      <x:c r="Q175" s="151" t="str">
        <x:v>空白编辑器重写，禁止看旧代码，卡住五分钟后只看最小提示</x:v>
      </x:c>
      <x:c r="R175" s="145" t="str">
        <x:v>未开始</x:v>
      </x:c>
      <x:c r="S175" s="145"/>
      <x:c r="T175" s="177"/>
      <x:c r="U175" s="145"/>
      <x:c r="V175" s="151"/>
      <x:c r="W175" s="112" t="str">
        <x:v>https://leetcode.com/problems/lru-cache/</x:v>
      </x:c>
    </x:row>
    <x:row r="176" ht="34" customHeight="1">
      <x:c r="A176" s="99" t="n">
        <x:v>35</x:v>
      </x:c>
      <x:c r="B176" s="145" t="str">
        <x:v>阶段四 专题补强与难题</x:v>
      </x:c>
      <x:c r="C176" s="145" t="n">
        <x:v>2</x:v>
      </x:c>
      <x:c r="D176" s="145" t="str">
        <x:v>新题</x:v>
      </x:c>
      <x:c r="E176" s="145" t="str">
        <x:v>主练一</x:v>
      </x:c>
      <x:c r="F176" s="145" t="n">
        <x:v>0</x:v>
      </x:c>
      <x:c r="G176" s="145" t="n">
        <x:v>0</x:v>
      </x:c>
      <x:c r="H176" s="145" t="n">
        <x:v>24</x:v>
      </x:c>
      <x:c r="I176" s="151" t="str">
        <x:v>两两交换链表中的节点</x:v>
      </x:c>
      <x:c r="J176" s="151" t="str">
        <x:v>Swap Nodes in Pairs</x:v>
      </x:c>
      <x:c r="K176" s="145" t="str">
        <x:v>中等</x:v>
      </x:c>
      <x:c r="L176" s="145" t="str">
        <x:v>链表</x:v>
      </x:c>
      <x:c r="M176" s="145" t="str">
        <x:v>链表</x:v>
      </x:c>
      <x:c r="N176" s="165" t="str">
        <x:v>局部指针重连</x:v>
      </x:c>
      <x:c r="O176" s="165" t="str">
        <x:v>代码随想录补充</x:v>
      </x:c>
      <x:c r="P176" s="171" t="n">
        <x:v>25</x:v>
      </x:c>
      <x:c r="Q176" s="151" t="str">
        <x:v>盲做并先口述暴力法与优化方向，到时停笔，完成后写复杂度、边界与可追问点</x:v>
      </x:c>
      <x:c r="R176" s="145" t="str">
        <x:v>未开始</x:v>
      </x:c>
      <x:c r="S176" s="145"/>
      <x:c r="T176" s="177"/>
      <x:c r="U176" s="145"/>
      <x:c r="V176" s="151"/>
      <x:c r="W176" s="112" t="str">
        <x:v>https://leetcode.com/problems/swap-nodes-in-pairs/</x:v>
      </x:c>
    </x:row>
    <x:row r="177" ht="34" customHeight="1">
      <x:c r="A177" s="99" t="n">
        <x:v>35</x:v>
      </x:c>
      <x:c r="B177" s="145" t="str">
        <x:v>阶段四 专题补强与难题</x:v>
      </x:c>
      <x:c r="C177" s="145" t="n">
        <x:v>3</x:v>
      </x:c>
      <x:c r="D177" s="145" t="str">
        <x:v>短间隔复做</x:v>
      </x:c>
      <x:c r="E177" s="145" t="str">
        <x:v>交错复盘</x:v>
      </x:c>
      <x:c r="F177" s="145" t="n">
        <x:v>7</x:v>
      </x:c>
      <x:c r="G177" s="145" t="n">
        <x:v>7</x:v>
      </x:c>
      <x:c r="H177" s="145" t="n">
        <x:v>230</x:v>
      </x:c>
      <x:c r="I177" s="151" t="str">
        <x:v>二叉搜索树中第K小的元素</x:v>
      </x:c>
      <x:c r="J177" s="151" t="str">
        <x:v>Kth Smallest Element in a BST</x:v>
      </x:c>
      <x:c r="K177" s="145" t="str">
        <x:v>中等</x:v>
      </x:c>
      <x:c r="L177" s="145" t="str">
        <x:v>树与递归</x:v>
      </x:c>
      <x:c r="M177" s="145" t="str">
        <x:v>二叉搜索树</x:v>
      </x:c>
      <x:c r="N177" s="165" t="str">
        <x:v>中序遍历</x:v>
      </x:c>
      <x:c r="O177" s="165" t="str">
        <x:v>Grind 75核心</x:v>
      </x:c>
      <x:c r="P177" s="171" t="n">
        <x:v>16</x:v>
      </x:c>
      <x:c r="Q177" s="151" t="str">
        <x:v>空白编辑器重写，禁止看旧代码，卡住五分钟后只看最小提示</x:v>
      </x:c>
      <x:c r="R177" s="145" t="str">
        <x:v>未开始</x:v>
      </x:c>
      <x:c r="S177" s="145"/>
      <x:c r="T177" s="177"/>
      <x:c r="U177" s="145"/>
      <x:c r="V177" s="151"/>
      <x:c r="W177" s="112" t="str">
        <x:v>https://leetcode.com/problems/kth-smallest-element-in-a-bst/</x:v>
      </x:c>
    </x:row>
    <x:row r="178" ht="34" customHeight="1">
      <x:c r="A178" s="99" t="n">
        <x:v>35</x:v>
      </x:c>
      <x:c r="B178" s="145" t="str">
        <x:v>阶段四 专题补强与难题</x:v>
      </x:c>
      <x:c r="C178" s="145" t="n">
        <x:v>4</x:v>
      </x:c>
      <x:c r="D178" s="145" t="str">
        <x:v>新题</x:v>
      </x:c>
      <x:c r="E178" s="145" t="str">
        <x:v>主练二</x:v>
      </x:c>
      <x:c r="F178" s="145" t="n">
        <x:v>0</x:v>
      </x:c>
      <x:c r="G178" s="145" t="n">
        <x:v>0</x:v>
      </x:c>
      <x:c r="H178" s="145" t="n">
        <x:v>142</x:v>
      </x:c>
      <x:c r="I178" s="151" t="str">
        <x:v>环形链表II</x:v>
      </x:c>
      <x:c r="J178" s="151" t="str">
        <x:v>Linked List Cycle II</x:v>
      </x:c>
      <x:c r="K178" s="145" t="str">
        <x:v>中等</x:v>
      </x:c>
      <x:c r="L178" s="145" t="str">
        <x:v>链表</x:v>
      </x:c>
      <x:c r="M178" s="145" t="str">
        <x:v>链表</x:v>
      </x:c>
      <x:c r="N178" s="165" t="str">
        <x:v>Floyd环入口推导</x:v>
      </x:c>
      <x:c r="O178" s="165" t="str">
        <x:v>代码随想录补充</x:v>
      </x:c>
      <x:c r="P178" s="171" t="n">
        <x:v>25</x:v>
      </x:c>
      <x:c r="Q178" s="151" t="str">
        <x:v>盲做并先口述暴力法与优化方向，到时停笔，完成后写复杂度、边界与可追问点</x:v>
      </x:c>
      <x:c r="R178" s="145" t="str">
        <x:v>未开始</x:v>
      </x:c>
      <x:c r="S178" s="145"/>
      <x:c r="T178" s="177"/>
      <x:c r="U178" s="145"/>
      <x:c r="V178" s="151"/>
      <x:c r="W178" s="112" t="str">
        <x:v>https://leetcode.com/problems/linked-list-cycle-ii/</x:v>
      </x:c>
    </x:row>
    <x:row r="179" ht="34" customHeight="1">
      <x:c r="A179" s="99" t="n">
        <x:v>35</x:v>
      </x:c>
      <x:c r="B179" s="145" t="str">
        <x:v>阶段四 专题补强与难题</x:v>
      </x:c>
      <x:c r="C179" s="145" t="n">
        <x:v>5</x:v>
      </x:c>
      <x:c r="D179" s="145" t="str">
        <x:v>长间隔复做</x:v>
      </x:c>
      <x:c r="E179" s="145" t="str">
        <x:v>长间隔复做</x:v>
      </x:c>
      <x:c r="F179" s="145" t="n">
        <x:v>25</x:v>
      </x:c>
      <x:c r="G179" s="145" t="n">
        <x:v>22</x:v>
      </x:c>
      <x:c r="H179" s="145" t="n">
        <x:v>3</x:v>
      </x:c>
      <x:c r="I179" s="151" t="str">
        <x:v>无重复字符的最长子串</x:v>
      </x:c>
      <x:c r="J179" s="151" t="str">
        <x:v>Longest Substring Without Repeating Characters</x:v>
      </x:c>
      <x:c r="K179" s="145" t="str">
        <x:v>中等</x:v>
      </x:c>
      <x:c r="L179" s="145" t="str">
        <x:v>滑动窗口与单调队列</x:v>
      </x:c>
      <x:c r="M179" s="145" t="str">
        <x:v>滑动窗口</x:v>
      </x:c>
      <x:c r="N179" s="165" t="str">
        <x:v>可变长度窗口</x:v>
      </x:c>
      <x:c r="O179" s="165" t="str">
        <x:v>Grind 75核心</x:v>
      </x:c>
      <x:c r="P179" s="171" t="n">
        <x:v>15</x:v>
      </x:c>
      <x:c r="Q179" s="151" t="str">
        <x:v>严格限时独立完成，先说模式与不变量，再回答复杂度和替代方案</x:v>
      </x:c>
      <x:c r="R179" s="145" t="str">
        <x:v>未开始</x:v>
      </x:c>
      <x:c r="S179" s="145"/>
      <x:c r="T179" s="177"/>
      <x:c r="U179" s="145"/>
      <x:c r="V179" s="151"/>
      <x:c r="W179" s="112" t="str">
        <x:v>https://leetcode.com/problems/longest-substring-without-repeating-characters/</x:v>
      </x:c>
    </x:row>
    <x:row r="180" ht="34" customHeight="1">
      <x:c r="A180" s="99" t="n">
        <x:v>36</x:v>
      </x:c>
      <x:c r="B180" s="145" t="str">
        <x:v>阶段四 专题补强与难题</x:v>
      </x:c>
      <x:c r="C180" s="145" t="n">
        <x:v>1</x:v>
      </x:c>
      <x:c r="D180" s="145" t="str">
        <x:v>短间隔复做</x:v>
      </x:c>
      <x:c r="E180" s="145" t="str">
        <x:v>主动回忆热身</x:v>
      </x:c>
      <x:c r="F180" s="145" t="n">
        <x:v>7</x:v>
      </x:c>
      <x:c r="G180" s="145" t="n">
        <x:v>7</x:v>
      </x:c>
      <x:c r="H180" s="145" t="n">
        <x:v>76</x:v>
      </x:c>
      <x:c r="I180" s="151" t="str">
        <x:v>最小覆盖子串</x:v>
      </x:c>
      <x:c r="J180" s="151" t="str">
        <x:v>Minimum Window Substring</x:v>
      </x:c>
      <x:c r="K180" s="145" t="str">
        <x:v>困难</x:v>
      </x:c>
      <x:c r="L180" s="145" t="str">
        <x:v>滑动窗口与单调队列</x:v>
      </x:c>
      <x:c r="M180" s="145" t="str">
        <x:v>滑动窗口</x:v>
      </x:c>
      <x:c r="N180" s="165" t="str">
        <x:v>满足条件后的收缩</x:v>
      </x:c>
      <x:c r="O180" s="165" t="str">
        <x:v>Grind 75核心</x:v>
      </x:c>
      <x:c r="P180" s="171" t="n">
        <x:v>20</x:v>
      </x:c>
      <x:c r="Q180" s="151" t="str">
        <x:v>空白编辑器重写，禁止看旧代码，卡住五分钟后只看最小提示</x:v>
      </x:c>
      <x:c r="R180" s="145" t="str">
        <x:v>未开始</x:v>
      </x:c>
      <x:c r="S180" s="145"/>
      <x:c r="T180" s="177"/>
      <x:c r="U180" s="145"/>
      <x:c r="V180" s="151"/>
      <x:c r="W180" s="112" t="str">
        <x:v>https://leetcode.com/problems/minimum-window-substring/</x:v>
      </x:c>
    </x:row>
    <x:row r="181" ht="34" customHeight="1">
      <x:c r="A181" s="99" t="n">
        <x:v>36</x:v>
      </x:c>
      <x:c r="B181" s="145" t="str">
        <x:v>阶段四 专题补强与难题</x:v>
      </x:c>
      <x:c r="C181" s="145" t="n">
        <x:v>2</x:v>
      </x:c>
      <x:c r="D181" s="145" t="str">
        <x:v>新题</x:v>
      </x:c>
      <x:c r="E181" s="145" t="str">
        <x:v>主练一</x:v>
      </x:c>
      <x:c r="F181" s="145" t="n">
        <x:v>0</x:v>
      </x:c>
      <x:c r="G181" s="145" t="n">
        <x:v>0</x:v>
      </x:c>
      <x:c r="H181" s="145" t="n">
        <x:v>560</x:v>
      </x:c>
      <x:c r="I181" s="151" t="str">
        <x:v>和为K的子数组</x:v>
      </x:c>
      <x:c r="J181" s="151" t="str">
        <x:v>Subarray Sum Equals K</x:v>
      </x:c>
      <x:c r="K181" s="145" t="str">
        <x:v>中等</x:v>
      </x:c>
      <x:c r="L181" s="145" t="str">
        <x:v>数组与哈希</x:v>
      </x:c>
      <x:c r="M181" s="145" t="str">
        <x:v>前缀和与哈希</x:v>
      </x:c>
      <x:c r="N181" s="165" t="str">
        <x:v>前缀和频次计数</x:v>
      </x:c>
      <x:c r="O181" s="165" t="str">
        <x:v>Grind 169扩展</x:v>
      </x:c>
      <x:c r="P181" s="171" t="n">
        <x:v>35</x:v>
      </x:c>
      <x:c r="Q181" s="151" t="str">
        <x:v>盲做并先口述暴力法与优化方向，到时停笔，完成后写复杂度、边界与可追问点</x:v>
      </x:c>
      <x:c r="R181" s="145" t="str">
        <x:v>未开始</x:v>
      </x:c>
      <x:c r="S181" s="145"/>
      <x:c r="T181" s="177"/>
      <x:c r="U181" s="145"/>
      <x:c r="V181" s="151"/>
      <x:c r="W181" s="112" t="str">
        <x:v>https://leetcode.com/problems/subarray-sum-equals-k/</x:v>
      </x:c>
    </x:row>
    <x:row r="182" ht="34" customHeight="1">
      <x:c r="A182" s="99" t="n">
        <x:v>36</x:v>
      </x:c>
      <x:c r="B182" s="145" t="str">
        <x:v>阶段四 专题补强与难题</x:v>
      </x:c>
      <x:c r="C182" s="145" t="n">
        <x:v>3</x:v>
      </x:c>
      <x:c r="D182" s="145" t="str">
        <x:v>短间隔复做</x:v>
      </x:c>
      <x:c r="E182" s="145" t="str">
        <x:v>交错复盘</x:v>
      </x:c>
      <x:c r="F182" s="145" t="n">
        <x:v>7</x:v>
      </x:c>
      <x:c r="G182" s="145" t="n">
        <x:v>7</x:v>
      </x:c>
      <x:c r="H182" s="145" t="n">
        <x:v>297</x:v>
      </x:c>
      <x:c r="I182" s="151" t="str">
        <x:v>二叉树的序列化与反序列化</x:v>
      </x:c>
      <x:c r="J182" s="151" t="str">
        <x:v>Serialize and Deserialize Binary Tree</x:v>
      </x:c>
      <x:c r="K182" s="145" t="str">
        <x:v>困难</x:v>
      </x:c>
      <x:c r="L182" s="145" t="str">
        <x:v>树与递归</x:v>
      </x:c>
      <x:c r="M182" s="145" t="str">
        <x:v>二叉树</x:v>
      </x:c>
      <x:c r="N182" s="165" t="str">
        <x:v>编解码与遍历</x:v>
      </x:c>
      <x:c r="O182" s="165" t="str">
        <x:v>Grind 75核心</x:v>
      </x:c>
      <x:c r="P182" s="171" t="n">
        <x:v>25</x:v>
      </x:c>
      <x:c r="Q182" s="151" t="str">
        <x:v>空白编辑器重写，禁止看旧代码，卡住五分钟后只看最小提示</x:v>
      </x:c>
      <x:c r="R182" s="145" t="str">
        <x:v>未开始</x:v>
      </x:c>
      <x:c r="S182" s="145"/>
      <x:c r="T182" s="177"/>
      <x:c r="U182" s="145"/>
      <x:c r="V182" s="151"/>
      <x:c r="W182" s="112" t="str">
        <x:v>https://leetcode.com/problems/serialize-and-deserialize-binary-tree/</x:v>
      </x:c>
    </x:row>
    <x:row r="183" ht="34" customHeight="1">
      <x:c r="A183" s="99" t="n">
        <x:v>36</x:v>
      </x:c>
      <x:c r="B183" s="145" t="str">
        <x:v>阶段四 专题补强与难题</x:v>
      </x:c>
      <x:c r="C183" s="145" t="n">
        <x:v>4</x:v>
      </x:c>
      <x:c r="D183" s="145" t="str">
        <x:v>新题</x:v>
      </x:c>
      <x:c r="E183" s="145" t="str">
        <x:v>主练二</x:v>
      </x:c>
      <x:c r="F183" s="145" t="n">
        <x:v>0</x:v>
      </x:c>
      <x:c r="G183" s="145" t="n">
        <x:v>0</x:v>
      </x:c>
      <x:c r="H183" s="145" t="n">
        <x:v>239</x:v>
      </x:c>
      <x:c r="I183" s="151" t="str">
        <x:v>滑动窗口最大值</x:v>
      </x:c>
      <x:c r="J183" s="151" t="str">
        <x:v>Sliding Window Maximum</x:v>
      </x:c>
      <x:c r="K183" s="145" t="str">
        <x:v>困难</x:v>
      </x:c>
      <x:c r="L183" s="145" t="str">
        <x:v>滑动窗口与单调队列</x:v>
      </x:c>
      <x:c r="M183" s="145" t="str">
        <x:v>单调队列</x:v>
      </x:c>
      <x:c r="N183" s="165" t="str">
        <x:v>维护单调双端队列</x:v>
      </x:c>
      <x:c r="O183" s="165" t="str">
        <x:v>代码随想录补充</x:v>
      </x:c>
      <x:c r="P183" s="171" t="n">
        <x:v>35</x:v>
      </x:c>
      <x:c r="Q183" s="151" t="str">
        <x:v>盲做并先口述暴力法与优化方向，到时停笔，完成后写复杂度、边界与可追问点</x:v>
      </x:c>
      <x:c r="R183" s="145" t="str">
        <x:v>未开始</x:v>
      </x:c>
      <x:c r="S183" s="145"/>
      <x:c r="T183" s="177"/>
      <x:c r="U183" s="145"/>
      <x:c r="V183" s="151"/>
      <x:c r="W183" s="112" t="str">
        <x:v>https://leetcode.com/problems/sliding-window-maximum/</x:v>
      </x:c>
    </x:row>
    <x:row r="184" ht="34" customHeight="1">
      <x:c r="A184" s="99" t="n">
        <x:v>36</x:v>
      </x:c>
      <x:c r="B184" s="145" t="str">
        <x:v>阶段四 专题补强与难题</x:v>
      </x:c>
      <x:c r="C184" s="145" t="n">
        <x:v>5</x:v>
      </x:c>
      <x:c r="D184" s="145" t="str">
        <x:v>长间隔复做</x:v>
      </x:c>
      <x:c r="E184" s="145" t="str">
        <x:v>长间隔复做</x:v>
      </x:c>
      <x:c r="F184" s="145" t="n">
        <x:v>26</x:v>
      </x:c>
      <x:c r="G184" s="145" t="n">
        <x:v>22</x:v>
      </x:c>
      <x:c r="H184" s="145" t="n">
        <x:v>15</x:v>
      </x:c>
      <x:c r="I184" s="151" t="str">
        <x:v>三数之和</x:v>
      </x:c>
      <x:c r="J184" s="151" t="str">
        <x:v>3Sum</x:v>
      </x:c>
      <x:c r="K184" s="145" t="str">
        <x:v>中等</x:v>
      </x:c>
      <x:c r="L184" s="145" t="str">
        <x:v>双指针</x:v>
      </x:c>
      <x:c r="M184" s="145" t="str">
        <x:v>双指针</x:v>
      </x:c>
      <x:c r="N184" s="165" t="str">
        <x:v>排序与对撞指针</x:v>
      </x:c>
      <x:c r="O184" s="165" t="str">
        <x:v>Grind 75核心</x:v>
      </x:c>
      <x:c r="P184" s="171" t="n">
        <x:v>15</x:v>
      </x:c>
      <x:c r="Q184" s="151" t="str">
        <x:v>严格限时独立完成，先说模式与不变量，再回答复杂度和替代方案</x:v>
      </x:c>
      <x:c r="R184" s="145" t="str">
        <x:v>未开始</x:v>
      </x:c>
      <x:c r="S184" s="145"/>
      <x:c r="T184" s="177"/>
      <x:c r="U184" s="145"/>
      <x:c r="V184" s="151"/>
      <x:c r="W184" s="112" t="str">
        <x:v>https://leetcode.com/problems/3sum/</x:v>
      </x:c>
    </x:row>
    <x:row r="185" ht="34" customHeight="1">
      <x:c r="A185" s="99" t="n">
        <x:v>37</x:v>
      </x:c>
      <x:c r="B185" s="145" t="str">
        <x:v>阶段四 专题补强与难题</x:v>
      </x:c>
      <x:c r="C185" s="145" t="n">
        <x:v>1</x:v>
      </x:c>
      <x:c r="D185" s="145" t="str">
        <x:v>短间隔复做</x:v>
      </x:c>
      <x:c r="E185" s="145" t="str">
        <x:v>主动回忆热身</x:v>
      </x:c>
      <x:c r="F185" s="145" t="n">
        <x:v>7</x:v>
      </x:c>
      <x:c r="G185" s="145" t="n">
        <x:v>7</x:v>
      </x:c>
      <x:c r="H185" s="145" t="n">
        <x:v>42</x:v>
      </x:c>
      <x:c r="I185" s="151" t="str">
        <x:v>接雨水</x:v>
      </x:c>
      <x:c r="J185" s="151" t="str">
        <x:v>Trapping Rain Water</x:v>
      </x:c>
      <x:c r="K185" s="145" t="str">
        <x:v>困难</x:v>
      </x:c>
      <x:c r="L185" s="145" t="str">
        <x:v>单调栈</x:v>
      </x:c>
      <x:c r="M185" s="145" t="str">
        <x:v>单调栈与双指针</x:v>
      </x:c>
      <x:c r="N185" s="165" t="str">
        <x:v>左右最大值或单调栈</x:v>
      </x:c>
      <x:c r="O185" s="165" t="str">
        <x:v>Grind 75核心</x:v>
      </x:c>
      <x:c r="P185" s="171" t="n">
        <x:v>23</x:v>
      </x:c>
      <x:c r="Q185" s="151" t="str">
        <x:v>空白编辑器重写，禁止看旧代码，卡住五分钟后只看最小提示</x:v>
      </x:c>
      <x:c r="R185" s="145" t="str">
        <x:v>未开始</x:v>
      </x:c>
      <x:c r="S185" s="145"/>
      <x:c r="T185" s="177"/>
      <x:c r="U185" s="145"/>
      <x:c r="V185" s="151"/>
      <x:c r="W185" s="112" t="str">
        <x:v>https://leetcode.com/problems/trapping-rain-water/</x:v>
      </x:c>
    </x:row>
    <x:row r="186" ht="34" customHeight="1">
      <x:c r="A186" s="99" t="n">
        <x:v>37</x:v>
      </x:c>
      <x:c r="B186" s="145" t="str">
        <x:v>阶段四 专题补强与难题</x:v>
      </x:c>
      <x:c r="C186" s="145" t="n">
        <x:v>2</x:v>
      </x:c>
      <x:c r="D186" s="145" t="str">
        <x:v>新题</x:v>
      </x:c>
      <x:c r="E186" s="145" t="str">
        <x:v>主练一</x:v>
      </x:c>
      <x:c r="F186" s="145" t="n">
        <x:v>0</x:v>
      </x:c>
      <x:c r="G186" s="145" t="n">
        <x:v>0</x:v>
      </x:c>
      <x:c r="H186" s="145" t="n">
        <x:v>347</x:v>
      </x:c>
      <x:c r="I186" s="151" t="str">
        <x:v>前K个高频元素</x:v>
      </x:c>
      <x:c r="J186" s="151" t="str">
        <x:v>Top K Frequent Elements</x:v>
      </x:c>
      <x:c r="K186" s="145" t="str">
        <x:v>中等</x:v>
      </x:c>
      <x:c r="L186" s="145" t="str">
        <x:v>堆与优先队列</x:v>
      </x:c>
      <x:c r="M186" s="145" t="str">
        <x:v>堆与优先队列</x:v>
      </x:c>
      <x:c r="N186" s="165" t="str">
        <x:v>频次统计与Top K</x:v>
      </x:c>
      <x:c r="O186" s="165" t="str">
        <x:v>代码随想录补充</x:v>
      </x:c>
      <x:c r="P186" s="171" t="n">
        <x:v>30</x:v>
      </x:c>
      <x:c r="Q186" s="151" t="str">
        <x:v>盲做并先口述暴力法与优化方向，到时停笔，完成后写复杂度、边界与可追问点</x:v>
      </x:c>
      <x:c r="R186" s="145" t="str">
        <x:v>未开始</x:v>
      </x:c>
      <x:c r="S186" s="145"/>
      <x:c r="T186" s="177"/>
      <x:c r="U186" s="145"/>
      <x:c r="V186" s="151"/>
      <x:c r="W186" s="112" t="str">
        <x:v>https://leetcode.com/problems/top-k-frequent-elements/</x:v>
      </x:c>
    </x:row>
    <x:row r="187" ht="34" customHeight="1">
      <x:c r="A187" s="99" t="n">
        <x:v>37</x:v>
      </x:c>
      <x:c r="B187" s="145" t="str">
        <x:v>阶段四 专题补强与难题</x:v>
      </x:c>
      <x:c r="C187" s="145" t="n">
        <x:v>3</x:v>
      </x:c>
      <x:c r="D187" s="145" t="str">
        <x:v>长间隔复做</x:v>
      </x:c>
      <x:c r="E187" s="145" t="str">
        <x:v>交错复盘</x:v>
      </x:c>
      <x:c r="F187" s="145" t="n">
        <x:v>26</x:v>
      </x:c>
      <x:c r="G187" s="145" t="n">
        <x:v>23</x:v>
      </x:c>
      <x:c r="H187" s="145" t="n">
        <x:v>133</x:v>
      </x:c>
      <x:c r="I187" s="151" t="str">
        <x:v>克隆图</x:v>
      </x:c>
      <x:c r="J187" s="151" t="str">
        <x:v>Clone Graph</x:v>
      </x:c>
      <x:c r="K187" s="145" t="str">
        <x:v>中等</x:v>
      </x:c>
      <x:c r="L187" s="145" t="str">
        <x:v>图与并查集</x:v>
      </x:c>
      <x:c r="M187" s="145" t="str">
        <x:v>图论</x:v>
      </x:c>
      <x:c r="N187" s="165" t="str">
        <x:v>图遍历与映射</x:v>
      </x:c>
      <x:c r="O187" s="165" t="str">
        <x:v>Grind 75核心</x:v>
      </x:c>
      <x:c r="P187" s="171" t="n">
        <x:v>12</x:v>
      </x:c>
      <x:c r="Q187" s="151" t="str">
        <x:v>严格限时独立完成，先说模式与不变量，再回答复杂度和替代方案</x:v>
      </x:c>
      <x:c r="R187" s="145" t="str">
        <x:v>未开始</x:v>
      </x:c>
      <x:c r="S187" s="145"/>
      <x:c r="T187" s="177"/>
      <x:c r="U187" s="145"/>
      <x:c r="V187" s="151"/>
      <x:c r="W187" s="112" t="str">
        <x:v>https://leetcode.com/problems/clone-graph/</x:v>
      </x:c>
    </x:row>
    <x:row r="188" ht="34" customHeight="1">
      <x:c r="A188" s="99" t="n">
        <x:v>37</x:v>
      </x:c>
      <x:c r="B188" s="145" t="str">
        <x:v>阶段四 专题补强与难题</x:v>
      </x:c>
      <x:c r="C188" s="145" t="n">
        <x:v>4</x:v>
      </x:c>
      <x:c r="D188" s="145" t="str">
        <x:v>新题</x:v>
      </x:c>
      <x:c r="E188" s="145" t="str">
        <x:v>主练二</x:v>
      </x:c>
      <x:c r="F188" s="145" t="n">
        <x:v>0</x:v>
      </x:c>
      <x:c r="G188" s="145" t="n">
        <x:v>0</x:v>
      </x:c>
      <x:c r="H188" s="145" t="n">
        <x:v>112</x:v>
      </x:c>
      <x:c r="I188" s="151" t="str">
        <x:v>路径总和</x:v>
      </x:c>
      <x:c r="J188" s="151" t="str">
        <x:v>Path Sum</x:v>
      </x:c>
      <x:c r="K188" s="145" t="str">
        <x:v>简单</x:v>
      </x:c>
      <x:c r="L188" s="145" t="str">
        <x:v>树与递归</x:v>
      </x:c>
      <x:c r="M188" s="145" t="str">
        <x:v>二叉树</x:v>
      </x:c>
      <x:c r="N188" s="165" t="str">
        <x:v>根到叶路径递归</x:v>
      </x:c>
      <x:c r="O188" s="165" t="str">
        <x:v>代码随想录补充</x:v>
      </x:c>
      <x:c r="P188" s="171" t="n">
        <x:v>20</x:v>
      </x:c>
      <x:c r="Q188" s="151" t="str">
        <x:v>盲做并先口述暴力法与优化方向，到时停笔，完成后写复杂度、边界与可追问点</x:v>
      </x:c>
      <x:c r="R188" s="145" t="str">
        <x:v>未开始</x:v>
      </x:c>
      <x:c r="S188" s="145"/>
      <x:c r="T188" s="177"/>
      <x:c r="U188" s="145"/>
      <x:c r="V188" s="151"/>
      <x:c r="W188" s="112" t="str">
        <x:v>https://leetcode.com/problems/path-sum/</x:v>
      </x:c>
    </x:row>
    <x:row r="189" ht="34" customHeight="1">
      <x:c r="A189" s="99" t="n">
        <x:v>37</x:v>
      </x:c>
      <x:c r="B189" s="145" t="str">
        <x:v>阶段四 专题补强与难题</x:v>
      </x:c>
      <x:c r="C189" s="145" t="n">
        <x:v>5</x:v>
      </x:c>
      <x:c r="D189" s="145" t="str">
        <x:v>长间隔复做</x:v>
      </x:c>
      <x:c r="E189" s="145" t="str">
        <x:v>长间隔复做</x:v>
      </x:c>
      <x:c r="F189" s="145" t="n">
        <x:v>25</x:v>
      </x:c>
      <x:c r="G189" s="145" t="n">
        <x:v>22</x:v>
      </x:c>
      <x:c r="H189" s="145" t="n">
        <x:v>150</x:v>
      </x:c>
      <x:c r="I189" s="151" t="str">
        <x:v>逆波兰表达式求值</x:v>
      </x:c>
      <x:c r="J189" s="151" t="str">
        <x:v>Evaluate Reverse Polish Notation</x:v>
      </x:c>
      <x:c r="K189" s="145" t="str">
        <x:v>中等</x:v>
      </x:c>
      <x:c r="L189" s="145" t="str">
        <x:v>栈与队列</x:v>
      </x:c>
      <x:c r="M189" s="145" t="str">
        <x:v>栈与队列</x:v>
      </x:c>
      <x:c r="N189" s="165" t="str">
        <x:v>栈处理表达式</x:v>
      </x:c>
      <x:c r="O189" s="165" t="str">
        <x:v>Grind 75核心</x:v>
      </x:c>
      <x:c r="P189" s="171" t="n">
        <x:v>15</x:v>
      </x:c>
      <x:c r="Q189" s="151" t="str">
        <x:v>严格限时独立完成，先说模式与不变量，再回答复杂度和替代方案</x:v>
      </x:c>
      <x:c r="R189" s="145" t="str">
        <x:v>未开始</x:v>
      </x:c>
      <x:c r="S189" s="145"/>
      <x:c r="T189" s="177"/>
      <x:c r="U189" s="145"/>
      <x:c r="V189" s="151"/>
      <x:c r="W189" s="112" t="str">
        <x:v>https://leetcode.com/problems/evaluate-reverse-polish-notation/</x:v>
      </x:c>
    </x:row>
    <x:row r="190" ht="34" customHeight="1">
      <x:c r="A190" s="99" t="n">
        <x:v>38</x:v>
      </x:c>
      <x:c r="B190" s="145" t="str">
        <x:v>阶段四 专题补强与难题</x:v>
      </x:c>
      <x:c r="C190" s="145" t="n">
        <x:v>1</x:v>
      </x:c>
      <x:c r="D190" s="145" t="str">
        <x:v>短间隔复做</x:v>
      </x:c>
      <x:c r="E190" s="145" t="str">
        <x:v>主动回忆热身</x:v>
      </x:c>
      <x:c r="F190" s="145" t="n">
        <x:v>8</x:v>
      </x:c>
      <x:c r="G190" s="145" t="n">
        <x:v>8</x:v>
      </x:c>
      <x:c r="H190" s="145" t="n">
        <x:v>295</x:v>
      </x:c>
      <x:c r="I190" s="151" t="str">
        <x:v>数据流的中位数</x:v>
      </x:c>
      <x:c r="J190" s="151" t="str">
        <x:v>Find Median from Data Stream</x:v>
      </x:c>
      <x:c r="K190" s="145" t="str">
        <x:v>困难</x:v>
      </x:c>
      <x:c r="L190" s="145" t="str">
        <x:v>堆与优先队列</x:v>
      </x:c>
      <x:c r="M190" s="145" t="str">
        <x:v>堆与优先队列</x:v>
      </x:c>
      <x:c r="N190" s="165" t="str">
        <x:v>大小堆平衡</x:v>
      </x:c>
      <x:c r="O190" s="165" t="str">
        <x:v>Grind 75核心</x:v>
      </x:c>
      <x:c r="P190" s="171" t="n">
        <x:v>20</x:v>
      </x:c>
      <x:c r="Q190" s="151" t="str">
        <x:v>空白编辑器重写，禁止看旧代码，卡住五分钟后只看最小提示</x:v>
      </x:c>
      <x:c r="R190" s="145" t="str">
        <x:v>未开始</x:v>
      </x:c>
      <x:c r="S190" s="145"/>
      <x:c r="T190" s="177"/>
      <x:c r="U190" s="145"/>
      <x:c r="V190" s="151"/>
      <x:c r="W190" s="112" t="str">
        <x:v>https://leetcode.com/problems/find-median-from-data-stream/</x:v>
      </x:c>
    </x:row>
    <x:row r="191" ht="34" customHeight="1">
      <x:c r="A191" s="99" t="n">
        <x:v>38</x:v>
      </x:c>
      <x:c r="B191" s="145" t="str">
        <x:v>阶段四 专题补强与难题</x:v>
      </x:c>
      <x:c r="C191" s="145" t="n">
        <x:v>2</x:v>
      </x:c>
      <x:c r="D191" s="145" t="str">
        <x:v>新题</x:v>
      </x:c>
      <x:c r="E191" s="145" t="str">
        <x:v>主练一</x:v>
      </x:c>
      <x:c r="F191" s="145" t="n">
        <x:v>0</x:v>
      </x:c>
      <x:c r="G191" s="145" t="n">
        <x:v>0</x:v>
      </x:c>
      <x:c r="H191" s="145" t="n">
        <x:v>77</x:v>
      </x:c>
      <x:c r="I191" s="151" t="str">
        <x:v>组合</x:v>
      </x:c>
      <x:c r="J191" s="151" t="str">
        <x:v>Combinations</x:v>
      </x:c>
      <x:c r="K191" s="145" t="str">
        <x:v>中等</x:v>
      </x:c>
      <x:c r="L191" s="145" t="str">
        <x:v>回溯</x:v>
      </x:c>
      <x:c r="M191" s="145" t="str">
        <x:v>回溯</x:v>
      </x:c>
      <x:c r="N191" s="165" t="str">
        <x:v>组合搜索与剪枝</x:v>
      </x:c>
      <x:c r="O191" s="165" t="str">
        <x:v>代码随想录补充</x:v>
      </x:c>
      <x:c r="P191" s="171" t="n">
        <x:v>25</x:v>
      </x:c>
      <x:c r="Q191" s="151" t="str">
        <x:v>盲做并先口述暴力法与优化方向，到时停笔，完成后写复杂度、边界与可追问点</x:v>
      </x:c>
      <x:c r="R191" s="145" t="str">
        <x:v>未开始</x:v>
      </x:c>
      <x:c r="S191" s="145"/>
      <x:c r="T191" s="177"/>
      <x:c r="U191" s="145"/>
      <x:c r="V191" s="151"/>
      <x:c r="W191" s="112" t="str">
        <x:v>https://leetcode.com/problems/combinations/</x:v>
      </x:c>
    </x:row>
    <x:row r="192" ht="34" customHeight="1">
      <x:c r="A192" s="99" t="n">
        <x:v>38</x:v>
      </x:c>
      <x:c r="B192" s="145" t="str">
        <x:v>阶段四 专题补强与难题</x:v>
      </x:c>
      <x:c r="C192" s="145" t="n">
        <x:v>3</x:v>
      </x:c>
      <x:c r="D192" s="145" t="str">
        <x:v>长间隔复做</x:v>
      </x:c>
      <x:c r="E192" s="145" t="str">
        <x:v>交错复盘</x:v>
      </x:c>
      <x:c r="F192" s="145" t="n">
        <x:v>27</x:v>
      </x:c>
      <x:c r="G192" s="145" t="n">
        <x:v>24</x:v>
      </x:c>
      <x:c r="H192" s="145" t="n">
        <x:v>102</x:v>
      </x:c>
      <x:c r="I192" s="151" t="str">
        <x:v>二叉树的层序遍历</x:v>
      </x:c>
      <x:c r="J192" s="151" t="str">
        <x:v>Binary Tree Level Order Traversal</x:v>
      </x:c>
      <x:c r="K192" s="145" t="str">
        <x:v>中等</x:v>
      </x:c>
      <x:c r="L192" s="145" t="str">
        <x:v>树与递归</x:v>
      </x:c>
      <x:c r="M192" s="145" t="str">
        <x:v>二叉树</x:v>
      </x:c>
      <x:c r="N192" s="165" t="str">
        <x:v>广搜分层</x:v>
      </x:c>
      <x:c r="O192" s="165" t="str">
        <x:v>Grind 75核心</x:v>
      </x:c>
      <x:c r="P192" s="171" t="n">
        <x:v>10</x:v>
      </x:c>
      <x:c r="Q192" s="151" t="str">
        <x:v>严格限时独立完成，先说模式与不变量，再回答复杂度和替代方案</x:v>
      </x:c>
      <x:c r="R192" s="145" t="str">
        <x:v>未开始</x:v>
      </x:c>
      <x:c r="S192" s="145"/>
      <x:c r="T192" s="177"/>
      <x:c r="U192" s="145"/>
      <x:c r="V192" s="151"/>
      <x:c r="W192" s="112" t="str">
        <x:v>https://leetcode.com/problems/binary-tree-level-order-traversal/</x:v>
      </x:c>
    </x:row>
    <x:row r="193" ht="34" customHeight="1">
      <x:c r="A193" s="99" t="n">
        <x:v>38</x:v>
      </x:c>
      <x:c r="B193" s="145" t="str">
        <x:v>阶段四 专题补强与难题</x:v>
      </x:c>
      <x:c r="C193" s="145" t="n">
        <x:v>4</x:v>
      </x:c>
      <x:c r="D193" s="145" t="str">
        <x:v>新题</x:v>
      </x:c>
      <x:c r="E193" s="145" t="str">
        <x:v>主练二</x:v>
      </x:c>
      <x:c r="F193" s="145" t="n">
        <x:v>0</x:v>
      </x:c>
      <x:c r="G193" s="145" t="n">
        <x:v>0</x:v>
      </x:c>
      <x:c r="H193" s="145" t="n">
        <x:v>40</x:v>
      </x:c>
      <x:c r="I193" s="151" t="str">
        <x:v>组合总和II</x:v>
      </x:c>
      <x:c r="J193" s="151" t="str">
        <x:v>Combination Sum II</x:v>
      </x:c>
      <x:c r="K193" s="145" t="str">
        <x:v>中等</x:v>
      </x:c>
      <x:c r="L193" s="145" t="str">
        <x:v>回溯</x:v>
      </x:c>
      <x:c r="M193" s="145" t="str">
        <x:v>回溯</x:v>
      </x:c>
      <x:c r="N193" s="165" t="str">
        <x:v>树层去重</x:v>
      </x:c>
      <x:c r="O193" s="165" t="str">
        <x:v>代码随想录补充</x:v>
      </x:c>
      <x:c r="P193" s="171" t="n">
        <x:v>30</x:v>
      </x:c>
      <x:c r="Q193" s="151" t="str">
        <x:v>盲做并先口述暴力法与优化方向，到时停笔，完成后写复杂度、边界与可追问点</x:v>
      </x:c>
      <x:c r="R193" s="145" t="str">
        <x:v>未开始</x:v>
      </x:c>
      <x:c r="S193" s="145"/>
      <x:c r="T193" s="177"/>
      <x:c r="U193" s="145"/>
      <x:c r="V193" s="151"/>
      <x:c r="W193" s="112" t="str">
        <x:v>https://leetcode.com/problems/combination-sum-ii/</x:v>
      </x:c>
    </x:row>
    <x:row r="194" ht="34" customHeight="1">
      <x:c r="A194" s="99" t="n">
        <x:v>38</x:v>
      </x:c>
      <x:c r="B194" s="145" t="str">
        <x:v>阶段四 专题补强与难题</x:v>
      </x:c>
      <x:c r="C194" s="145" t="n">
        <x:v>5</x:v>
      </x:c>
      <x:c r="D194" s="145" t="str">
        <x:v>长间隔复做</x:v>
      </x:c>
      <x:c r="E194" s="145" t="str">
        <x:v>长间隔复做</x:v>
      </x:c>
      <x:c r="F194" s="145" t="n">
        <x:v>26</x:v>
      </x:c>
      <x:c r="G194" s="145" t="n">
        <x:v>22</x:v>
      </x:c>
      <x:c r="H194" s="145" t="n">
        <x:v>207</x:v>
      </x:c>
      <x:c r="I194" s="151" t="str">
        <x:v>课程表</x:v>
      </x:c>
      <x:c r="J194" s="151" t="str">
        <x:v>Course Schedule</x:v>
      </x:c>
      <x:c r="K194" s="145" t="str">
        <x:v>中等</x:v>
      </x:c>
      <x:c r="L194" s="145" t="str">
        <x:v>图与并查集</x:v>
      </x:c>
      <x:c r="M194" s="145" t="str">
        <x:v>图论</x:v>
      </x:c>
      <x:c r="N194" s="165" t="str">
        <x:v>拓扑排序与环检测</x:v>
      </x:c>
      <x:c r="O194" s="165" t="str">
        <x:v>Grind 75核心</x:v>
      </x:c>
      <x:c r="P194" s="171" t="n">
        <x:v>15</x:v>
      </x:c>
      <x:c r="Q194" s="151" t="str">
        <x:v>严格限时独立完成，先说模式与不变量，再回答复杂度和替代方案</x:v>
      </x:c>
      <x:c r="R194" s="145" t="str">
        <x:v>未开始</x:v>
      </x:c>
      <x:c r="S194" s="145"/>
      <x:c r="T194" s="177"/>
      <x:c r="U194" s="145"/>
      <x:c r="V194" s="151"/>
      <x:c r="W194" s="112" t="str">
        <x:v>https://leetcode.com/problems/course-schedule/</x:v>
      </x:c>
    </x:row>
    <x:row r="195" ht="34" customHeight="1">
      <x:c r="A195" s="99" t="n">
        <x:v>39</x:v>
      </x:c>
      <x:c r="B195" s="145" t="str">
        <x:v>阶段四 专题补强与难题</x:v>
      </x:c>
      <x:c r="C195" s="145" t="n">
        <x:v>1</x:v>
      </x:c>
      <x:c r="D195" s="145" t="str">
        <x:v>短间隔复做</x:v>
      </x:c>
      <x:c r="E195" s="145" t="str">
        <x:v>主动回忆热身</x:v>
      </x:c>
      <x:c r="F195" s="145" t="n">
        <x:v>8</x:v>
      </x:c>
      <x:c r="G195" s="145" t="n">
        <x:v>8</x:v>
      </x:c>
      <x:c r="H195" s="145" t="n">
        <x:v>127</x:v>
      </x:c>
      <x:c r="I195" s="151" t="str">
        <x:v>单词接龙</x:v>
      </x:c>
      <x:c r="J195" s="151" t="str">
        <x:v>Word Ladder</x:v>
      </x:c>
      <x:c r="K195" s="145" t="str">
        <x:v>困难</x:v>
      </x:c>
      <x:c r="L195" s="145" t="str">
        <x:v>图与并查集</x:v>
      </x:c>
      <x:c r="M195" s="145" t="str">
        <x:v>图论</x:v>
      </x:c>
      <x:c r="N195" s="165" t="str">
        <x:v>广搜最短路</x:v>
      </x:c>
      <x:c r="O195" s="165" t="str">
        <x:v>Grind 75核心</x:v>
      </x:c>
      <x:c r="P195" s="171" t="n">
        <x:v>25</x:v>
      </x:c>
      <x:c r="Q195" s="151" t="str">
        <x:v>空白编辑器重写，禁止看旧代码，卡住五分钟后只看最小提示</x:v>
      </x:c>
      <x:c r="R195" s="145" t="str">
        <x:v>未开始</x:v>
      </x:c>
      <x:c r="S195" s="145"/>
      <x:c r="T195" s="177"/>
      <x:c r="U195" s="145"/>
      <x:c r="V195" s="151"/>
      <x:c r="W195" s="112" t="str">
        <x:v>https://leetcode.com/problems/word-ladder/</x:v>
      </x:c>
    </x:row>
    <x:row r="196" ht="34" customHeight="1">
      <x:c r="A196" s="99" t="n">
        <x:v>39</x:v>
      </x:c>
      <x:c r="B196" s="145" t="str">
        <x:v>阶段四 专题补强与难题</x:v>
      </x:c>
      <x:c r="C196" s="145" t="n">
        <x:v>2</x:v>
      </x:c>
      <x:c r="D196" s="145" t="str">
        <x:v>新题</x:v>
      </x:c>
      <x:c r="E196" s="145" t="str">
        <x:v>主练一</x:v>
      </x:c>
      <x:c r="F196" s="145" t="n">
        <x:v>0</x:v>
      </x:c>
      <x:c r="G196" s="145" t="n">
        <x:v>0</x:v>
      </x:c>
      <x:c r="H196" s="145" t="n">
        <x:v>131</x:v>
      </x:c>
      <x:c r="I196" s="151" t="str">
        <x:v>分割回文串</x:v>
      </x:c>
      <x:c r="J196" s="151" t="str">
        <x:v>Palindrome Partitioning</x:v>
      </x:c>
      <x:c r="K196" s="145" t="str">
        <x:v>中等</x:v>
      </x:c>
      <x:c r="L196" s="145" t="str">
        <x:v>回溯</x:v>
      </x:c>
      <x:c r="M196" s="145" t="str">
        <x:v>回溯</x:v>
      </x:c>
      <x:c r="N196" s="165" t="str">
        <x:v>分割型回溯</x:v>
      </x:c>
      <x:c r="O196" s="165" t="str">
        <x:v>代码随想录补充</x:v>
      </x:c>
      <x:c r="P196" s="171" t="n">
        <x:v>30</x:v>
      </x:c>
      <x:c r="Q196" s="151" t="str">
        <x:v>盲做并先口述暴力法与优化方向，到时停笔，完成后写复杂度、边界与可追问点</x:v>
      </x:c>
      <x:c r="R196" s="145" t="str">
        <x:v>未开始</x:v>
      </x:c>
      <x:c r="S196" s="145"/>
      <x:c r="T196" s="177"/>
      <x:c r="U196" s="145"/>
      <x:c r="V196" s="151"/>
      <x:c r="W196" s="112" t="str">
        <x:v>https://leetcode.com/problems/palindrome-partitioning/</x:v>
      </x:c>
    </x:row>
    <x:row r="197" ht="34" customHeight="1">
      <x:c r="A197" s="99" t="n">
        <x:v>39</x:v>
      </x:c>
      <x:c r="B197" s="145" t="str">
        <x:v>阶段四 专题补强与难题</x:v>
      </x:c>
      <x:c r="C197" s="145" t="n">
        <x:v>3</x:v>
      </x:c>
      <x:c r="D197" s="145" t="str">
        <x:v>短间隔复做</x:v>
      </x:c>
      <x:c r="E197" s="145" t="str">
        <x:v>交错复盘</x:v>
      </x:c>
      <x:c r="F197" s="145" t="n">
        <x:v>8</x:v>
      </x:c>
      <x:c r="G197" s="145" t="n">
        <x:v>8</x:v>
      </x:c>
      <x:c r="H197" s="145" t="n">
        <x:v>224</x:v>
      </x:c>
      <x:c r="I197" s="151" t="str">
        <x:v>基本计算器</x:v>
      </x:c>
      <x:c r="J197" s="151" t="str">
        <x:v>Basic Calculator</x:v>
      </x:c>
      <x:c r="K197" s="145" t="str">
        <x:v>困难</x:v>
      </x:c>
      <x:c r="L197" s="145" t="str">
        <x:v>栈与队列</x:v>
      </x:c>
      <x:c r="M197" s="145" t="str">
        <x:v>栈与队列</x:v>
      </x:c>
      <x:c r="N197" s="165" t="str">
        <x:v>表达式解析</x:v>
      </x:c>
      <x:c r="O197" s="165" t="str">
        <x:v>Grind 75核心</x:v>
      </x:c>
      <x:c r="P197" s="171" t="n">
        <x:v>25</x:v>
      </x:c>
      <x:c r="Q197" s="151" t="str">
        <x:v>空白编辑器重写，禁止看旧代码，卡住五分钟后只看最小提示</x:v>
      </x:c>
      <x:c r="R197" s="145" t="str">
        <x:v>未开始</x:v>
      </x:c>
      <x:c r="S197" s="145"/>
      <x:c r="T197" s="177"/>
      <x:c r="U197" s="145"/>
      <x:c r="V197" s="151"/>
      <x:c r="W197" s="112" t="str">
        <x:v>https://leetcode.com/problems/basic-calculator/</x:v>
      </x:c>
    </x:row>
    <x:row r="198" ht="34" customHeight="1">
      <x:c r="A198" s="99" t="n">
        <x:v>39</x:v>
      </x:c>
      <x:c r="B198" s="145" t="str">
        <x:v>阶段四 专题补强与难题</x:v>
      </x:c>
      <x:c r="C198" s="145" t="n">
        <x:v>4</x:v>
      </x:c>
      <x:c r="D198" s="145" t="str">
        <x:v>新题</x:v>
      </x:c>
      <x:c r="E198" s="145" t="str">
        <x:v>主练二</x:v>
      </x:c>
      <x:c r="F198" s="145" t="n">
        <x:v>0</x:v>
      </x:c>
      <x:c r="G198" s="145" t="n">
        <x:v>0</x:v>
      </x:c>
      <x:c r="H198" s="145" t="n">
        <x:v>47</x:v>
      </x:c>
      <x:c r="I198" s="151" t="str">
        <x:v>全排列II</x:v>
      </x:c>
      <x:c r="J198" s="151" t="str">
        <x:v>Permutations II</x:v>
      </x:c>
      <x:c r="K198" s="145" t="str">
        <x:v>中等</x:v>
      </x:c>
      <x:c r="L198" s="145" t="str">
        <x:v>回溯</x:v>
      </x:c>
      <x:c r="M198" s="145" t="str">
        <x:v>回溯</x:v>
      </x:c>
      <x:c r="N198" s="165" t="str">
        <x:v>排列去重</x:v>
      </x:c>
      <x:c r="O198" s="165" t="str">
        <x:v>代码随想录补充</x:v>
      </x:c>
      <x:c r="P198" s="171" t="n">
        <x:v>30</x:v>
      </x:c>
      <x:c r="Q198" s="151" t="str">
        <x:v>盲做并先口述暴力法与优化方向，到时停笔，完成后写复杂度、边界与可追问点</x:v>
      </x:c>
      <x:c r="R198" s="145" t="str">
        <x:v>未开始</x:v>
      </x:c>
      <x:c r="S198" s="145"/>
      <x:c r="T198" s="177"/>
      <x:c r="U198" s="145"/>
      <x:c r="V198" s="151"/>
      <x:c r="W198" s="112" t="str">
        <x:v>https://leetcode.com/problems/permutations-ii/</x:v>
      </x:c>
    </x:row>
    <x:row r="199" ht="34" customHeight="1">
      <x:c r="A199" s="99" t="n">
        <x:v>39</x:v>
      </x:c>
      <x:c r="B199" s="145" t="str">
        <x:v>阶段四 专题补强与难题</x:v>
      </x:c>
      <x:c r="C199" s="145" t="n">
        <x:v>5</x:v>
      </x:c>
      <x:c r="D199" s="145" t="str">
        <x:v>长间隔复做</x:v>
      </x:c>
      <x:c r="E199" s="145" t="str">
        <x:v>长间隔复做</x:v>
      </x:c>
      <x:c r="F199" s="145" t="n">
        <x:v>26</x:v>
      </x:c>
      <x:c r="G199" s="145" t="n">
        <x:v>24</x:v>
      </x:c>
      <x:c r="H199" s="145" t="n">
        <x:v>208</x:v>
      </x:c>
      <x:c r="I199" s="151" t="str">
        <x:v>实现Trie前缀树</x:v>
      </x:c>
      <x:c r="J199" s="151" t="str">
        <x:v>Implement Trie Prefix Tree</x:v>
      </x:c>
      <x:c r="K199" s="145" t="str">
        <x:v>中等</x:v>
      </x:c>
      <x:c r="L199" s="145" t="str">
        <x:v>Trie</x:v>
      </x:c>
      <x:c r="M199" s="145" t="str">
        <x:v>Trie</x:v>
      </x:c>
      <x:c r="N199" s="165" t="str">
        <x:v>前缀树设计</x:v>
      </x:c>
      <x:c r="O199" s="165" t="str">
        <x:v>Grind 75核心</x:v>
      </x:c>
      <x:c r="P199" s="171" t="n">
        <x:v>18</x:v>
      </x:c>
      <x:c r="Q199" s="151" t="str">
        <x:v>严格限时独立完成，先说模式与不变量，再回答复杂度和替代方案</x:v>
      </x:c>
      <x:c r="R199" s="145" t="str">
        <x:v>未开始</x:v>
      </x:c>
      <x:c r="S199" s="145"/>
      <x:c r="T199" s="177"/>
      <x:c r="U199" s="145"/>
      <x:c r="V199" s="151"/>
      <x:c r="W199" s="112" t="str">
        <x:v>https://leetcode.com/problems/implement-trie-prefix-tree/</x:v>
      </x:c>
    </x:row>
    <x:row r="200" ht="34" customHeight="1">
      <x:c r="A200" s="99" t="n">
        <x:v>40</x:v>
      </x:c>
      <x:c r="B200" s="145" t="str">
        <x:v>阶段四 专题补强与难题</x:v>
      </x:c>
      <x:c r="C200" s="145" t="n">
        <x:v>1</x:v>
      </x:c>
      <x:c r="D200" s="145" t="str">
        <x:v>短间隔复做</x:v>
      </x:c>
      <x:c r="E200" s="145" t="str">
        <x:v>主动回忆热身</x:v>
      </x:c>
      <x:c r="F200" s="145" t="n">
        <x:v>8</x:v>
      </x:c>
      <x:c r="G200" s="145" t="n">
        <x:v>8</x:v>
      </x:c>
      <x:c r="H200" s="145" t="n">
        <x:v>1235</x:v>
      </x:c>
      <x:c r="I200" s="151" t="str">
        <x:v>规划兼职工作</x:v>
      </x:c>
      <x:c r="J200" s="151" t="str">
        <x:v>Maximum Profit in Job Scheduling</x:v>
      </x:c>
      <x:c r="K200" s="145" t="str">
        <x:v>困难</x:v>
      </x:c>
      <x:c r="L200" s="145" t="str">
        <x:v>动态规划</x:v>
      </x:c>
      <x:c r="M200" s="145" t="str">
        <x:v>动态规划与二分</x:v>
      </x:c>
      <x:c r="N200" s="165" t="str">
        <x:v>加权区间调度</x:v>
      </x:c>
      <x:c r="O200" s="165" t="str">
        <x:v>Grind 75核心</x:v>
      </x:c>
      <x:c r="P200" s="171" t="n">
        <x:v>25</x:v>
      </x:c>
      <x:c r="Q200" s="151" t="str">
        <x:v>空白编辑器重写，禁止看旧代码，卡住五分钟后只看最小提示</x:v>
      </x:c>
      <x:c r="R200" s="145" t="str">
        <x:v>未开始</x:v>
      </x:c>
      <x:c r="S200" s="145"/>
      <x:c r="T200" s="177"/>
      <x:c r="U200" s="145"/>
      <x:c r="V200" s="151"/>
      <x:c r="W200" s="112" t="str">
        <x:v>https://leetcode.com/problems/maximum-profit-in-job-scheduling/</x:v>
      </x:c>
    </x:row>
    <x:row r="201" ht="34" customHeight="1">
      <x:c r="A201" s="99" t="n">
        <x:v>40</x:v>
      </x:c>
      <x:c r="B201" s="145" t="str">
        <x:v>阶段四 专题补强与难题</x:v>
      </x:c>
      <x:c r="C201" s="145" t="n">
        <x:v>2</x:v>
      </x:c>
      <x:c r="D201" s="145" t="str">
        <x:v>新题</x:v>
      </x:c>
      <x:c r="E201" s="145" t="str">
        <x:v>主练一</x:v>
      </x:c>
      <x:c r="F201" s="145" t="n">
        <x:v>0</x:v>
      </x:c>
      <x:c r="G201" s="145" t="n">
        <x:v>0</x:v>
      </x:c>
      <x:c r="H201" s="145" t="n">
        <x:v>55</x:v>
      </x:c>
      <x:c r="I201" s="151" t="str">
        <x:v>跳跃游戏</x:v>
      </x:c>
      <x:c r="J201" s="151" t="str">
        <x:v>Jump Game</x:v>
      </x:c>
      <x:c r="K201" s="145" t="str">
        <x:v>中等</x:v>
      </x:c>
      <x:c r="L201" s="145" t="str">
        <x:v>贪心与区间</x:v>
      </x:c>
      <x:c r="M201" s="145" t="str">
        <x:v>贪心</x:v>
      </x:c>
      <x:c r="N201" s="165" t="str">
        <x:v>维护最远覆盖范围</x:v>
      </x:c>
      <x:c r="O201" s="165" t="str">
        <x:v>代码随想录补充</x:v>
      </x:c>
      <x:c r="P201" s="171" t="n">
        <x:v>25</x:v>
      </x:c>
      <x:c r="Q201" s="151" t="str">
        <x:v>盲做并先口述暴力法与优化方向，到时停笔，完成后写复杂度、边界与可追问点</x:v>
      </x:c>
      <x:c r="R201" s="145" t="str">
        <x:v>未开始</x:v>
      </x:c>
      <x:c r="S201" s="145"/>
      <x:c r="T201" s="177"/>
      <x:c r="U201" s="145"/>
      <x:c r="V201" s="151"/>
      <x:c r="W201" s="112" t="str">
        <x:v>https://leetcode.com/problems/jump-game/</x:v>
      </x:c>
    </x:row>
    <x:row r="202" ht="34" customHeight="1">
      <x:c r="A202" s="99" t="n">
        <x:v>40</x:v>
      </x:c>
      <x:c r="B202" s="145" t="str">
        <x:v>阶段四 专题补强与难题</x:v>
      </x:c>
      <x:c r="C202" s="145" t="n">
        <x:v>3</x:v>
      </x:c>
      <x:c r="D202" s="145" t="str">
        <x:v>短间隔复做</x:v>
      </x:c>
      <x:c r="E202" s="145" t="str">
        <x:v>交错复盘</x:v>
      </x:c>
      <x:c r="F202" s="145" t="n">
        <x:v>8</x:v>
      </x:c>
      <x:c r="G202" s="145" t="n">
        <x:v>8</x:v>
      </x:c>
      <x:c r="H202" s="145" t="n">
        <x:v>23</x:v>
      </x:c>
      <x:c r="I202" s="151" t="str">
        <x:v>合并K个升序链表</x:v>
      </x:c>
      <x:c r="J202" s="151" t="str">
        <x:v>Merge k Sorted Lists</x:v>
      </x:c>
      <x:c r="K202" s="145" t="str">
        <x:v>困难</x:v>
      </x:c>
      <x:c r="L202" s="145" t="str">
        <x:v>堆与优先队列</x:v>
      </x:c>
      <x:c r="M202" s="145" t="str">
        <x:v>堆与链表</x:v>
      </x:c>
      <x:c r="N202" s="165" t="str">
        <x:v>多路归并</x:v>
      </x:c>
      <x:c r="O202" s="165" t="str">
        <x:v>Grind 75核心</x:v>
      </x:c>
      <x:c r="P202" s="171" t="n">
        <x:v>20</x:v>
      </x:c>
      <x:c r="Q202" s="151" t="str">
        <x:v>空白编辑器重写，禁止看旧代码，卡住五分钟后只看最小提示</x:v>
      </x:c>
      <x:c r="R202" s="145" t="str">
        <x:v>未开始</x:v>
      </x:c>
      <x:c r="S202" s="145"/>
      <x:c r="T202" s="177"/>
      <x:c r="U202" s="145"/>
      <x:c r="V202" s="151"/>
      <x:c r="W202" s="112" t="str">
        <x:v>https://leetcode.com/problems/merge-k-sorted-lists/</x:v>
      </x:c>
    </x:row>
    <x:row r="203" ht="34" customHeight="1">
      <x:c r="A203" s="99" t="n">
        <x:v>40</x:v>
      </x:c>
      <x:c r="B203" s="145" t="str">
        <x:v>阶段四 专题补强与难题</x:v>
      </x:c>
      <x:c r="C203" s="145" t="n">
        <x:v>4</x:v>
      </x:c>
      <x:c r="D203" s="145" t="str">
        <x:v>新题</x:v>
      </x:c>
      <x:c r="E203" s="145" t="str">
        <x:v>主练二</x:v>
      </x:c>
      <x:c r="F203" s="145" t="n">
        <x:v>0</x:v>
      </x:c>
      <x:c r="G203" s="145" t="n">
        <x:v>0</x:v>
      </x:c>
      <x:c r="H203" s="145" t="n">
        <x:v>435</x:v>
      </x:c>
      <x:c r="I203" s="151" t="str">
        <x:v>无重叠区间</x:v>
      </x:c>
      <x:c r="J203" s="151" t="str">
        <x:v>Non overlapping Intervals</x:v>
      </x:c>
      <x:c r="K203" s="145" t="str">
        <x:v>中等</x:v>
      </x:c>
      <x:c r="L203" s="145" t="str">
        <x:v>贪心与区间</x:v>
      </x:c>
      <x:c r="M203" s="145" t="str">
        <x:v>区间与贪心</x:v>
      </x:c>
      <x:c r="N203" s="165" t="str">
        <x:v>按结束点调度</x:v>
      </x:c>
      <x:c r="O203" s="165" t="str">
        <x:v>代码随想录补充</x:v>
      </x:c>
      <x:c r="P203" s="171" t="n">
        <x:v>30</x:v>
      </x:c>
      <x:c r="Q203" s="151" t="str">
        <x:v>盲做并先口述暴力法与优化方向，到时停笔，完成后写复杂度、边界与可追问点</x:v>
      </x:c>
      <x:c r="R203" s="145" t="str">
        <x:v>未开始</x:v>
      </x:c>
      <x:c r="S203" s="145"/>
      <x:c r="T203" s="177"/>
      <x:c r="U203" s="145"/>
      <x:c r="V203" s="151"/>
      <x:c r="W203" s="112" t="str">
        <x:v>https://leetcode.com/problems/non-overlapping-intervals/</x:v>
      </x:c>
    </x:row>
    <x:row r="204" ht="34" customHeight="1">
      <x:c r="A204" s="99" t="n">
        <x:v>40</x:v>
      </x:c>
      <x:c r="B204" s="145" t="str">
        <x:v>阶段四 专题补强与难题</x:v>
      </x:c>
      <x:c r="C204" s="145" t="n">
        <x:v>5</x:v>
      </x:c>
      <x:c r="D204" s="145" t="str">
        <x:v>长间隔复做</x:v>
      </x:c>
      <x:c r="E204" s="145" t="str">
        <x:v>长间隔复做</x:v>
      </x:c>
      <x:c r="F204" s="145" t="n">
        <x:v>27</x:v>
      </x:c>
      <x:c r="G204" s="145" t="n">
        <x:v>25</x:v>
      </x:c>
      <x:c r="H204" s="145" t="n">
        <x:v>322</x:v>
      </x:c>
      <x:c r="I204" s="151" t="str">
        <x:v>零钱兑换</x:v>
      </x:c>
      <x:c r="J204" s="151" t="str">
        <x:v>Coin Change</x:v>
      </x:c>
      <x:c r="K204" s="145" t="str">
        <x:v>中等</x:v>
      </x:c>
      <x:c r="L204" s="145" t="str">
        <x:v>动态规划</x:v>
      </x:c>
      <x:c r="M204" s="145" t="str">
        <x:v>动态规划</x:v>
      </x:c>
      <x:c r="N204" s="165" t="str">
        <x:v>完全背包最值</x:v>
      </x:c>
      <x:c r="O204" s="165" t="str">
        <x:v>Grind 75核心</x:v>
      </x:c>
      <x:c r="P204" s="171" t="n">
        <x:v>12</x:v>
      </x:c>
      <x:c r="Q204" s="151" t="str">
        <x:v>严格限时独立完成，先说模式与不变量，再回答复杂度和替代方案</x:v>
      </x:c>
      <x:c r="R204" s="145" t="str">
        <x:v>未开始</x:v>
      </x:c>
      <x:c r="S204" s="145"/>
      <x:c r="T204" s="177"/>
      <x:c r="U204" s="145"/>
      <x:c r="V204" s="151"/>
      <x:c r="W204" s="112" t="str">
        <x:v>https://leetcode.com/problems/coin-change/</x:v>
      </x:c>
    </x:row>
    <x:row r="205" ht="34" customHeight="1">
      <x:c r="A205" s="99" t="n">
        <x:v>41</x:v>
      </x:c>
      <x:c r="B205" s="145" t="str">
        <x:v>阶段四 专题补强与难题</x:v>
      </x:c>
      <x:c r="C205" s="145" t="n">
        <x:v>1</x:v>
      </x:c>
      <x:c r="D205" s="145" t="str">
        <x:v>短间隔复做</x:v>
      </x:c>
      <x:c r="E205" s="145" t="str">
        <x:v>主动回忆热身</x:v>
      </x:c>
      <x:c r="F205" s="145" t="n">
        <x:v>8</x:v>
      </x:c>
      <x:c r="G205" s="145" t="n">
        <x:v>8</x:v>
      </x:c>
      <x:c r="H205" s="145" t="n">
        <x:v>84</x:v>
      </x:c>
      <x:c r="I205" s="151" t="str">
        <x:v>柱状图中最大的矩形</x:v>
      </x:c>
      <x:c r="J205" s="151" t="str">
        <x:v>Largest Rectangle in Histogram</x:v>
      </x:c>
      <x:c r="K205" s="145" t="str">
        <x:v>困难</x:v>
      </x:c>
      <x:c r="L205" s="145" t="str">
        <x:v>单调栈</x:v>
      </x:c>
      <x:c r="M205" s="145" t="str">
        <x:v>单调栈</x:v>
      </x:c>
      <x:c r="N205" s="165" t="str">
        <x:v>寻找左右第一个更小值</x:v>
      </x:c>
      <x:c r="O205" s="165" t="str">
        <x:v>Grind 75核心</x:v>
      </x:c>
      <x:c r="P205" s="171" t="n">
        <x:v>23</x:v>
      </x:c>
      <x:c r="Q205" s="151" t="str">
        <x:v>空白编辑器重写，禁止看旧代码，卡住五分钟后只看最小提示</x:v>
      </x:c>
      <x:c r="R205" s="145" t="str">
        <x:v>未开始</x:v>
      </x:c>
      <x:c r="S205" s="145"/>
      <x:c r="T205" s="177"/>
      <x:c r="U205" s="145"/>
      <x:c r="V205" s="151"/>
      <x:c r="W205" s="112" t="str">
        <x:v>https://leetcode.com/problems/largest-rectangle-in-histogram/</x:v>
      </x:c>
    </x:row>
    <x:row r="206" ht="34" customHeight="1">
      <x:c r="A206" s="99" t="n">
        <x:v>41</x:v>
      </x:c>
      <x:c r="B206" s="145" t="str">
        <x:v>阶段四 专题补强与难题</x:v>
      </x:c>
      <x:c r="C206" s="145" t="n">
        <x:v>2</x:v>
      </x:c>
      <x:c r="D206" s="145" t="str">
        <x:v>新题</x:v>
      </x:c>
      <x:c r="E206" s="145" t="str">
        <x:v>主练一</x:v>
      </x:c>
      <x:c r="F206" s="145" t="n">
        <x:v>0</x:v>
      </x:c>
      <x:c r="G206" s="145" t="n">
        <x:v>0</x:v>
      </x:c>
      <x:c r="H206" s="145" t="n">
        <x:v>452</x:v>
      </x:c>
      <x:c r="I206" s="151" t="str">
        <x:v>用最少数量的箭引爆气球</x:v>
      </x:c>
      <x:c r="J206" s="151" t="str">
        <x:v>Minimum Number of Arrows to Burst Balloons</x:v>
      </x:c>
      <x:c r="K206" s="145" t="str">
        <x:v>中等</x:v>
      </x:c>
      <x:c r="L206" s="145" t="str">
        <x:v>贪心与区间</x:v>
      </x:c>
      <x:c r="M206" s="145" t="str">
        <x:v>区间与贪心</x:v>
      </x:c>
      <x:c r="N206" s="165" t="str">
        <x:v>区间交集</x:v>
      </x:c>
      <x:c r="O206" s="165" t="str">
        <x:v>代码随想录补充</x:v>
      </x:c>
      <x:c r="P206" s="171" t="n">
        <x:v>30</x:v>
      </x:c>
      <x:c r="Q206" s="151" t="str">
        <x:v>盲做并先口述暴力法与优化方向，到时停笔，完成后写复杂度、边界与可追问点</x:v>
      </x:c>
      <x:c r="R206" s="145" t="str">
        <x:v>未开始</x:v>
      </x:c>
      <x:c r="S206" s="145"/>
      <x:c r="T206" s="177"/>
      <x:c r="U206" s="145"/>
      <x:c r="V206" s="151"/>
      <x:c r="W206" s="112" t="str">
        <x:v>https://leetcode.com/problems/minimum-number-of-arrows-to-burst-balloons/</x:v>
      </x:c>
    </x:row>
    <x:row r="207" ht="34" customHeight="1">
      <x:c r="A207" s="99" t="n">
        <x:v>41</x:v>
      </x:c>
      <x:c r="B207" s="145" t="str">
        <x:v>阶段四 专题补强与难题</x:v>
      </x:c>
      <x:c r="C207" s="145" t="n">
        <x:v>3</x:v>
      </x:c>
      <x:c r="D207" s="145" t="str">
        <x:v>长间隔复做</x:v>
      </x:c>
      <x:c r="E207" s="145" t="str">
        <x:v>交错复盘</x:v>
      </x:c>
      <x:c r="F207" s="145" t="n">
        <x:v>27</x:v>
      </x:c>
      <x:c r="G207" s="145" t="n">
        <x:v>25</x:v>
      </x:c>
      <x:c r="H207" s="145" t="n">
        <x:v>238</x:v>
      </x:c>
      <x:c r="I207" s="151" t="str">
        <x:v>除自身以外数组的乘积</x:v>
      </x:c>
      <x:c r="J207" s="151" t="str">
        <x:v>Product of Array Except Self</x:v>
      </x:c>
      <x:c r="K207" s="145" t="str">
        <x:v>中等</x:v>
      </x:c>
      <x:c r="L207" s="145" t="str">
        <x:v>数组与哈希</x:v>
      </x:c>
      <x:c r="M207" s="145" t="str">
        <x:v>数组与前缀</x:v>
      </x:c>
      <x:c r="N207" s="165" t="str">
        <x:v>前缀积与后缀积</x:v>
      </x:c>
      <x:c r="O207" s="165" t="str">
        <x:v>Grind 75核心</x:v>
      </x:c>
      <x:c r="P207" s="171" t="n">
        <x:v>15</x:v>
      </x:c>
      <x:c r="Q207" s="151" t="str">
        <x:v>严格限时独立完成，先说模式与不变量，再回答复杂度和替代方案</x:v>
      </x:c>
      <x:c r="R207" s="145" t="str">
        <x:v>未开始</x:v>
      </x:c>
      <x:c r="S207" s="145"/>
      <x:c r="T207" s="177"/>
      <x:c r="U207" s="145"/>
      <x:c r="V207" s="151"/>
      <x:c r="W207" s="112" t="str">
        <x:v>https://leetcode.com/problems/product-of-array-except-self/</x:v>
      </x:c>
    </x:row>
    <x:row r="208" ht="34" customHeight="1">
      <x:c r="A208" s="99" t="n">
        <x:v>41</x:v>
      </x:c>
      <x:c r="B208" s="145" t="str">
        <x:v>阶段四 专题补强与难题</x:v>
      </x:c>
      <x:c r="C208" s="145" t="n">
        <x:v>4</x:v>
      </x:c>
      <x:c r="D208" s="145" t="str">
        <x:v>新题</x:v>
      </x:c>
      <x:c r="E208" s="145" t="str">
        <x:v>主练二</x:v>
      </x:c>
      <x:c r="F208" s="145" t="n">
        <x:v>0</x:v>
      </x:c>
      <x:c r="G208" s="145" t="n">
        <x:v>0</x:v>
      </x:c>
      <x:c r="H208" s="145" t="n">
        <x:v>198</x:v>
      </x:c>
      <x:c r="I208" s="151" t="str">
        <x:v>打家劫舍</x:v>
      </x:c>
      <x:c r="J208" s="151" t="str">
        <x:v>House Robber</x:v>
      </x:c>
      <x:c r="K208" s="145" t="str">
        <x:v>中等</x:v>
      </x:c>
      <x:c r="L208" s="145" t="str">
        <x:v>动态规划</x:v>
      </x:c>
      <x:c r="M208" s="145" t="str">
        <x:v>动态规划</x:v>
      </x:c>
      <x:c r="N208" s="165" t="str">
        <x:v>相邻约束一维状态</x:v>
      </x:c>
      <x:c r="O208" s="165" t="str">
        <x:v>代码随想录补充</x:v>
      </x:c>
      <x:c r="P208" s="171" t="n">
        <x:v>25</x:v>
      </x:c>
      <x:c r="Q208" s="151" t="str">
        <x:v>盲做并先口述暴力法与优化方向，到时停笔，完成后写复杂度、边界与可追问点</x:v>
      </x:c>
      <x:c r="R208" s="145" t="str">
        <x:v>未开始</x:v>
      </x:c>
      <x:c r="S208" s="145"/>
      <x:c r="T208" s="177"/>
      <x:c r="U208" s="145"/>
      <x:c r="V208" s="151"/>
      <x:c r="W208" s="112" t="str">
        <x:v>https://leetcode.com/problems/house-robber/</x:v>
      </x:c>
    </x:row>
    <x:row r="209" ht="34" customHeight="1">
      <x:c r="A209" s="99" t="n">
        <x:v>41</x:v>
      </x:c>
      <x:c r="B209" s="145" t="str">
        <x:v>阶段四 专题补强与难题</x:v>
      </x:c>
      <x:c r="C209" s="145" t="n">
        <x:v>5</x:v>
      </x:c>
      <x:c r="D209" s="145" t="str">
        <x:v>长间隔复做</x:v>
      </x:c>
      <x:c r="E209" s="145" t="str">
        <x:v>长间隔复做</x:v>
      </x:c>
      <x:c r="F209" s="145" t="n">
        <x:v>27</x:v>
      </x:c>
      <x:c r="G209" s="145" t="n">
        <x:v>25</x:v>
      </x:c>
      <x:c r="H209" s="145" t="n">
        <x:v>155</x:v>
      </x:c>
      <x:c r="I209" s="151" t="str">
        <x:v>最小栈</x:v>
      </x:c>
      <x:c r="J209" s="151" t="str">
        <x:v>Min Stack</x:v>
      </x:c>
      <x:c r="K209" s="145" t="str">
        <x:v>中等</x:v>
      </x:c>
      <x:c r="L209" s="145" t="str">
        <x:v>栈与队列</x:v>
      </x:c>
      <x:c r="M209" s="145" t="str">
        <x:v>栈与队列</x:v>
      </x:c>
      <x:c r="N209" s="165" t="str">
        <x:v>辅助栈维护最值</x:v>
      </x:c>
      <x:c r="O209" s="165" t="str">
        <x:v>Grind 75核心</x:v>
      </x:c>
      <x:c r="P209" s="171" t="n">
        <x:v>10</x:v>
      </x:c>
      <x:c r="Q209" s="151" t="str">
        <x:v>严格限时独立完成，先说模式与不变量，再回答复杂度和替代方案</x:v>
      </x:c>
      <x:c r="R209" s="145" t="str">
        <x:v>未开始</x:v>
      </x:c>
      <x:c r="S209" s="145"/>
      <x:c r="T209" s="177"/>
      <x:c r="U209" s="145"/>
      <x:c r="V209" s="151"/>
      <x:c r="W209" s="112" t="str">
        <x:v>https://leetcode.com/problems/min-stack/</x:v>
      </x:c>
    </x:row>
    <x:row r="210" ht="34" customHeight="1">
      <x:c r="A210" s="99" t="n">
        <x:v>42</x:v>
      </x:c>
      <x:c r="B210" s="145" t="str">
        <x:v>阶段四 专题补强与难题</x:v>
      </x:c>
      <x:c r="C210" s="145" t="n">
        <x:v>1</x:v>
      </x:c>
      <x:c r="D210" s="145" t="str">
        <x:v>短间隔复做</x:v>
      </x:c>
      <x:c r="E210" s="145" t="str">
        <x:v>主动回忆热身</x:v>
      </x:c>
      <x:c r="F210" s="145" t="n">
        <x:v>9</x:v>
      </x:c>
      <x:c r="G210" s="145" t="n">
        <x:v>9</x:v>
      </x:c>
      <x:c r="H210" s="145" t="n">
        <x:v>27</x:v>
      </x:c>
      <x:c r="I210" s="151" t="str">
        <x:v>移除元素</x:v>
      </x:c>
      <x:c r="J210" s="151" t="str">
        <x:v>Remove Element</x:v>
      </x:c>
      <x:c r="K210" s="145" t="str">
        <x:v>简单</x:v>
      </x:c>
      <x:c r="L210" s="145" t="str">
        <x:v>双指针</x:v>
      </x:c>
      <x:c r="M210" s="145" t="str">
        <x:v>双指针</x:v>
      </x:c>
      <x:c r="N210" s="165" t="str">
        <x:v>快慢指针原地覆盖</x:v>
      </x:c>
      <x:c r="O210" s="165" t="str">
        <x:v>代码随想录补充</x:v>
      </x:c>
      <x:c r="P210" s="171" t="n">
        <x:v>12</x:v>
      </x:c>
      <x:c r="Q210" s="151" t="str">
        <x:v>空白编辑器重写，禁止看旧代码，卡住五分钟后只看最小提示</x:v>
      </x:c>
      <x:c r="R210" s="145" t="str">
        <x:v>未开始</x:v>
      </x:c>
      <x:c r="S210" s="145"/>
      <x:c r="T210" s="177"/>
      <x:c r="U210" s="145"/>
      <x:c r="V210" s="151"/>
      <x:c r="W210" s="112" t="str">
        <x:v>https://leetcode.com/problems/remove-element/</x:v>
      </x:c>
    </x:row>
    <x:row r="211" ht="34" customHeight="1">
      <x:c r="A211" s="99" t="n">
        <x:v>42</x:v>
      </x:c>
      <x:c r="B211" s="145" t="str">
        <x:v>阶段四 专题补强与难题</x:v>
      </x:c>
      <x:c r="C211" s="145" t="n">
        <x:v>2</x:v>
      </x:c>
      <x:c r="D211" s="145" t="str">
        <x:v>新题</x:v>
      </x:c>
      <x:c r="E211" s="145" t="str">
        <x:v>主练一</x:v>
      </x:c>
      <x:c r="F211" s="145" t="n">
        <x:v>0</x:v>
      </x:c>
      <x:c r="G211" s="145" t="n">
        <x:v>0</x:v>
      </x:c>
      <x:c r="H211" s="145" t="n">
        <x:v>300</x:v>
      </x:c>
      <x:c r="I211" s="151" t="str">
        <x:v>最长递增子序列</x:v>
      </x:c>
      <x:c r="J211" s="151" t="str">
        <x:v>Longest Increasing Subsequence</x:v>
      </x:c>
      <x:c r="K211" s="145" t="str">
        <x:v>中等</x:v>
      </x:c>
      <x:c r="L211" s="145" t="str">
        <x:v>动态规划</x:v>
      </x:c>
      <x:c r="M211" s="145" t="str">
        <x:v>动态规划</x:v>
      </x:c>
      <x:c r="N211" s="165" t="str">
        <x:v>序列状态或耐心排序</x:v>
      </x:c>
      <x:c r="O211" s="165" t="str">
        <x:v>代码随想录补充</x:v>
      </x:c>
      <x:c r="P211" s="171" t="n">
        <x:v>30</x:v>
      </x:c>
      <x:c r="Q211" s="151" t="str">
        <x:v>盲做并先口述暴力法与优化方向，到时停笔，完成后写复杂度、边界与可追问点</x:v>
      </x:c>
      <x:c r="R211" s="145" t="str">
        <x:v>未开始</x:v>
      </x:c>
      <x:c r="S211" s="145"/>
      <x:c r="T211" s="177"/>
      <x:c r="U211" s="145"/>
      <x:c r="V211" s="151"/>
      <x:c r="W211" s="112" t="str">
        <x:v>https://leetcode.com/problems/longest-increasing-subsequence/</x:v>
      </x:c>
    </x:row>
    <x:row r="212" ht="34" customHeight="1">
      <x:c r="A212" s="99" t="n">
        <x:v>42</x:v>
      </x:c>
      <x:c r="B212" s="145" t="str">
        <x:v>阶段四 专题补强与难题</x:v>
      </x:c>
      <x:c r="C212" s="145" t="n">
        <x:v>3</x:v>
      </x:c>
      <x:c r="D212" s="145" t="str">
        <x:v>长间隔复做</x:v>
      </x:c>
      <x:c r="E212" s="145" t="str">
        <x:v>交错复盘</x:v>
      </x:c>
      <x:c r="F212" s="145" t="n">
        <x:v>27</x:v>
      </x:c>
      <x:c r="G212" s="145" t="n">
        <x:v>25</x:v>
      </x:c>
      <x:c r="H212" s="145" t="n">
        <x:v>98</x:v>
      </x:c>
      <x:c r="I212" s="151" t="str">
        <x:v>验证二叉搜索树</x:v>
      </x:c>
      <x:c r="J212" s="151" t="str">
        <x:v>Validate Binary Search Tree</x:v>
      </x:c>
      <x:c r="K212" s="145" t="str">
        <x:v>中等</x:v>
      </x:c>
      <x:c r="L212" s="145" t="str">
        <x:v>树与递归</x:v>
      </x:c>
      <x:c r="M212" s="145" t="str">
        <x:v>二叉搜索树</x:v>
      </x:c>
      <x:c r="N212" s="165" t="str">
        <x:v>中序有序或上下界</x:v>
      </x:c>
      <x:c r="O212" s="165" t="str">
        <x:v>Grind 75核心</x:v>
      </x:c>
      <x:c r="P212" s="171" t="n">
        <x:v>10</x:v>
      </x:c>
      <x:c r="Q212" s="151" t="str">
        <x:v>严格限时独立完成，先说模式与不变量，再回答复杂度和替代方案</x:v>
      </x:c>
      <x:c r="R212" s="145" t="str">
        <x:v>未开始</x:v>
      </x:c>
      <x:c r="S212" s="145"/>
      <x:c r="T212" s="177"/>
      <x:c r="U212" s="145"/>
      <x:c r="V212" s="151"/>
      <x:c r="W212" s="112" t="str">
        <x:v>https://leetcode.com/problems/validate-binary-search-tree/</x:v>
      </x:c>
    </x:row>
    <x:row r="213" ht="34" customHeight="1">
      <x:c r="A213" s="99" t="n">
        <x:v>42</x:v>
      </x:c>
      <x:c r="B213" s="145" t="str">
        <x:v>阶段四 专题补强与难题</x:v>
      </x:c>
      <x:c r="C213" s="145" t="n">
        <x:v>4</x:v>
      </x:c>
      <x:c r="D213" s="145" t="str">
        <x:v>新题</x:v>
      </x:c>
      <x:c r="E213" s="145" t="str">
        <x:v>主练二</x:v>
      </x:c>
      <x:c r="F213" s="145" t="n">
        <x:v>0</x:v>
      </x:c>
      <x:c r="G213" s="145" t="n">
        <x:v>0</x:v>
      </x:c>
      <x:c r="H213" s="145" t="n">
        <x:v>1143</x:v>
      </x:c>
      <x:c r="I213" s="151" t="str">
        <x:v>最长公共子序列</x:v>
      </x:c>
      <x:c r="J213" s="151" t="str">
        <x:v>Longest Common Subsequence</x:v>
      </x:c>
      <x:c r="K213" s="145" t="str">
        <x:v>中等</x:v>
      </x:c>
      <x:c r="L213" s="145" t="str">
        <x:v>动态规划</x:v>
      </x:c>
      <x:c r="M213" s="145" t="str">
        <x:v>动态规划</x:v>
      </x:c>
      <x:c r="N213" s="165" t="str">
        <x:v>双序列状态转移</x:v>
      </x:c>
      <x:c r="O213" s="165" t="str">
        <x:v>代码随想录补充</x:v>
      </x:c>
      <x:c r="P213" s="171" t="n">
        <x:v>30</x:v>
      </x:c>
      <x:c r="Q213" s="151" t="str">
        <x:v>盲做并先口述暴力法与优化方向，到时停笔，完成后写复杂度、边界与可追问点</x:v>
      </x:c>
      <x:c r="R213" s="145" t="str">
        <x:v>未开始</x:v>
      </x:c>
      <x:c r="S213" s="145"/>
      <x:c r="T213" s="177"/>
      <x:c r="U213" s="145"/>
      <x:c r="V213" s="151"/>
      <x:c r="W213" s="112" t="str">
        <x:v>https://leetcode.com/problems/longest-common-subsequence/</x:v>
      </x:c>
    </x:row>
    <x:row r="214" ht="34" customHeight="1">
      <x:c r="A214" s="99" t="n">
        <x:v>42</x:v>
      </x:c>
      <x:c r="B214" s="145" t="str">
        <x:v>阶段四 专题补强与难题</x:v>
      </x:c>
      <x:c r="C214" s="145" t="n">
        <x:v>5</x:v>
      </x:c>
      <x:c r="D214" s="145" t="str">
        <x:v>长间隔复做</x:v>
      </x:c>
      <x:c r="E214" s="145" t="str">
        <x:v>长间隔复做</x:v>
      </x:c>
      <x:c r="F214" s="145" t="n">
        <x:v>27</x:v>
      </x:c>
      <x:c r="G214" s="145" t="n">
        <x:v>25</x:v>
      </x:c>
      <x:c r="H214" s="145" t="n">
        <x:v>200</x:v>
      </x:c>
      <x:c r="I214" s="151" t="str">
        <x:v>岛屿数量</x:v>
      </x:c>
      <x:c r="J214" s="151" t="str">
        <x:v>Number of Islands</x:v>
      </x:c>
      <x:c r="K214" s="145" t="str">
        <x:v>中等</x:v>
      </x:c>
      <x:c r="L214" s="145" t="str">
        <x:v>图与并查集</x:v>
      </x:c>
      <x:c r="M214" s="145" t="str">
        <x:v>图论</x:v>
      </x:c>
      <x:c r="N214" s="165" t="str">
        <x:v>网格连通分量</x:v>
      </x:c>
      <x:c r="O214" s="165" t="str">
        <x:v>Grind 75核心</x:v>
      </x:c>
      <x:c r="P214" s="171" t="n">
        <x:v>12</x:v>
      </x:c>
      <x:c r="Q214" s="151" t="str">
        <x:v>严格限时独立完成，先说模式与不变量，再回答复杂度和替代方案</x:v>
      </x:c>
      <x:c r="R214" s="145" t="str">
        <x:v>未开始</x:v>
      </x:c>
      <x:c r="S214" s="145"/>
      <x:c r="T214" s="177"/>
      <x:c r="U214" s="145"/>
      <x:c r="V214" s="151"/>
      <x:c r="W214" s="112" t="str">
        <x:v>https://leetcode.com/problems/number-of-islands/</x:v>
      </x:c>
    </x:row>
    <x:row r="215" ht="34" customHeight="1">
      <x:c r="A215" s="99" t="n">
        <x:v>43</x:v>
      </x:c>
      <x:c r="B215" s="145" t="str">
        <x:v>阶段四 专题补强与难题</x:v>
      </x:c>
      <x:c r="C215" s="145" t="n">
        <x:v>1</x:v>
      </x:c>
      <x:c r="D215" s="145" t="str">
        <x:v>短间隔复做</x:v>
      </x:c>
      <x:c r="E215" s="145" t="str">
        <x:v>主动回忆热身</x:v>
      </x:c>
      <x:c r="F215" s="145" t="n">
        <x:v>9</x:v>
      </x:c>
      <x:c r="G215" s="145" t="n">
        <x:v>9</x:v>
      </x:c>
      <x:c r="H215" s="145" t="n">
        <x:v>209</x:v>
      </x:c>
      <x:c r="I215" s="151" t="str">
        <x:v>长度最小的子数组</x:v>
      </x:c>
      <x:c r="J215" s="151" t="str">
        <x:v>Minimum Size Subarray Sum</x:v>
      </x:c>
      <x:c r="K215" s="145" t="str">
        <x:v>中等</x:v>
      </x:c>
      <x:c r="L215" s="145" t="str">
        <x:v>滑动窗口与单调队列</x:v>
      </x:c>
      <x:c r="M215" s="145" t="str">
        <x:v>滑动窗口</x:v>
      </x:c>
      <x:c r="N215" s="165" t="str">
        <x:v>最短满足窗口</x:v>
      </x:c>
      <x:c r="O215" s="165" t="str">
        <x:v>代码随想录补充</x:v>
      </x:c>
      <x:c r="P215" s="171" t="n">
        <x:v>16</x:v>
      </x:c>
      <x:c r="Q215" s="151" t="str">
        <x:v>空白编辑器重写，禁止看旧代码，卡住五分钟后只看最小提示</x:v>
      </x:c>
      <x:c r="R215" s="145" t="str">
        <x:v>未开始</x:v>
      </x:c>
      <x:c r="S215" s="145"/>
      <x:c r="T215" s="177"/>
      <x:c r="U215" s="145"/>
      <x:c r="V215" s="151"/>
      <x:c r="W215" s="112" t="str">
        <x:v>https://leetcode.com/problems/minimum-size-subarray-sum/</x:v>
      </x:c>
    </x:row>
    <x:row r="216" ht="34" customHeight="1">
      <x:c r="A216" s="99" t="n">
        <x:v>43</x:v>
      </x:c>
      <x:c r="B216" s="145" t="str">
        <x:v>阶段四 专题补强与难题</x:v>
      </x:c>
      <x:c r="C216" s="145" t="n">
        <x:v>2</x:v>
      </x:c>
      <x:c r="D216" s="145" t="str">
        <x:v>新题</x:v>
      </x:c>
      <x:c r="E216" s="145" t="str">
        <x:v>主练一</x:v>
      </x:c>
      <x:c r="F216" s="145" t="n">
        <x:v>0</x:v>
      </x:c>
      <x:c r="G216" s="145" t="n">
        <x:v>0</x:v>
      </x:c>
      <x:c r="H216" s="145" t="n">
        <x:v>72</x:v>
      </x:c>
      <x:c r="I216" s="151" t="str">
        <x:v>编辑距离</x:v>
      </x:c>
      <x:c r="J216" s="151" t="str">
        <x:v>Edit Distance</x:v>
      </x:c>
      <x:c r="K216" s="145" t="str">
        <x:v>中等</x:v>
      </x:c>
      <x:c r="L216" s="145" t="str">
        <x:v>动态规划</x:v>
      </x:c>
      <x:c r="M216" s="145" t="str">
        <x:v>动态规划</x:v>
      </x:c>
      <x:c r="N216" s="165" t="str">
        <x:v>增删改二维状态</x:v>
      </x:c>
      <x:c r="O216" s="165" t="str">
        <x:v>代码随想录补充</x:v>
      </x:c>
      <x:c r="P216" s="171" t="n">
        <x:v>35</x:v>
      </x:c>
      <x:c r="Q216" s="151" t="str">
        <x:v>盲做并先口述暴力法与优化方向，到时停笔，完成后写复杂度、边界与可追问点</x:v>
      </x:c>
      <x:c r="R216" s="145" t="str">
        <x:v>未开始</x:v>
      </x:c>
      <x:c r="S216" s="145"/>
      <x:c r="T216" s="177"/>
      <x:c r="U216" s="145"/>
      <x:c r="V216" s="151"/>
      <x:c r="W216" s="112" t="str">
        <x:v>https://leetcode.com/problems/edit-distance/</x:v>
      </x:c>
    </x:row>
    <x:row r="217" ht="34" customHeight="1">
      <x:c r="A217" s="99" t="n">
        <x:v>43</x:v>
      </x:c>
      <x:c r="B217" s="145" t="str">
        <x:v>阶段四 专题补强与难题</x:v>
      </x:c>
      <x:c r="C217" s="145" t="n">
        <x:v>3</x:v>
      </x:c>
      <x:c r="D217" s="145" t="str">
        <x:v>短间隔复做</x:v>
      </x:c>
      <x:c r="E217" s="145" t="str">
        <x:v>交错复盘</x:v>
      </x:c>
      <x:c r="F217" s="145" t="n">
        <x:v>9</x:v>
      </x:c>
      <x:c r="G217" s="145" t="n">
        <x:v>9</x:v>
      </x:c>
      <x:c r="H217" s="145" t="n">
        <x:v>19</x:v>
      </x:c>
      <x:c r="I217" s="151" t="str">
        <x:v>删除链表的倒数第N个结点</x:v>
      </x:c>
      <x:c r="J217" s="151" t="str">
        <x:v>Remove Nth Node From End of List</x:v>
      </x:c>
      <x:c r="K217" s="145" t="str">
        <x:v>中等</x:v>
      </x:c>
      <x:c r="L217" s="145" t="str">
        <x:v>链表</x:v>
      </x:c>
      <x:c r="M217" s="145" t="str">
        <x:v>链表</x:v>
      </x:c>
      <x:c r="N217" s="165" t="str">
        <x:v>快慢指针与虚拟头结点</x:v>
      </x:c>
      <x:c r="O217" s="165" t="str">
        <x:v>代码随想录补充</x:v>
      </x:c>
      <x:c r="P217" s="171" t="n">
        <x:v>16</x:v>
      </x:c>
      <x:c r="Q217" s="151" t="str">
        <x:v>空白编辑器重写，禁止看旧代码，卡住五分钟后只看最小提示</x:v>
      </x:c>
      <x:c r="R217" s="145" t="str">
        <x:v>未开始</x:v>
      </x:c>
      <x:c r="S217" s="145"/>
      <x:c r="T217" s="177"/>
      <x:c r="U217" s="145"/>
      <x:c r="V217" s="151"/>
      <x:c r="W217" s="112" t="str">
        <x:v>https://leetcode.com/problems/remove-nth-node-from-end-of-list/</x:v>
      </x:c>
    </x:row>
    <x:row r="218" ht="34" customHeight="1">
      <x:c r="A218" s="99" t="n">
        <x:v>43</x:v>
      </x:c>
      <x:c r="B218" s="145" t="str">
        <x:v>阶段四 专题补强与难题</x:v>
      </x:c>
      <x:c r="C218" s="145" t="n">
        <x:v>4</x:v>
      </x:c>
      <x:c r="D218" s="145" t="str">
        <x:v>新题</x:v>
      </x:c>
      <x:c r="E218" s="145" t="str">
        <x:v>主练二</x:v>
      </x:c>
      <x:c r="F218" s="145" t="n">
        <x:v>0</x:v>
      </x:c>
      <x:c r="G218" s="145" t="n">
        <x:v>0</x:v>
      </x:c>
      <x:c r="H218" s="145" t="n">
        <x:v>739</x:v>
      </x:c>
      <x:c r="I218" s="151" t="str">
        <x:v>每日温度</x:v>
      </x:c>
      <x:c r="J218" s="151" t="str">
        <x:v>Daily Temperatures</x:v>
      </x:c>
      <x:c r="K218" s="145" t="str">
        <x:v>中等</x:v>
      </x:c>
      <x:c r="L218" s="145" t="str">
        <x:v>单调栈</x:v>
      </x:c>
      <x:c r="M218" s="145" t="str">
        <x:v>单调栈</x:v>
      </x:c>
      <x:c r="N218" s="165" t="str">
        <x:v>下一个更大元素</x:v>
      </x:c>
      <x:c r="O218" s="165" t="str">
        <x:v>代码随想录补充</x:v>
      </x:c>
      <x:c r="P218" s="171" t="n">
        <x:v>25</x:v>
      </x:c>
      <x:c r="Q218" s="151" t="str">
        <x:v>盲做并先口述暴力法与优化方向，到时停笔，完成后写复杂度、边界与可追问点</x:v>
      </x:c>
      <x:c r="R218" s="145" t="str">
        <x:v>未开始</x:v>
      </x:c>
      <x:c r="S218" s="145"/>
      <x:c r="T218" s="177"/>
      <x:c r="U218" s="145"/>
      <x:c r="V218" s="151"/>
      <x:c r="W218" s="112" t="str">
        <x:v>https://leetcode.com/problems/daily-temperatures/</x:v>
      </x:c>
    </x:row>
    <x:row r="219" ht="34" customHeight="1">
      <x:c r="A219" s="99" t="n">
        <x:v>43</x:v>
      </x:c>
      <x:c r="B219" s="145" t="str">
        <x:v>阶段四 专题补强与难题</x:v>
      </x:c>
      <x:c r="C219" s="145" t="n">
        <x:v>5</x:v>
      </x:c>
      <x:c r="D219" s="145" t="str">
        <x:v>长间隔复做</x:v>
      </x:c>
      <x:c r="E219" s="145" t="str">
        <x:v>长间隔复做</x:v>
      </x:c>
      <x:c r="F219" s="145" t="n">
        <x:v>27</x:v>
      </x:c>
      <x:c r="G219" s="145" t="n">
        <x:v>25</x:v>
      </x:c>
      <x:c r="H219" s="145" t="n">
        <x:v>994</x:v>
      </x:c>
      <x:c r="I219" s="151" t="str">
        <x:v>腐烂的橘子</x:v>
      </x:c>
      <x:c r="J219" s="151" t="str">
        <x:v>Rotting Oranges</x:v>
      </x:c>
      <x:c r="K219" s="145" t="str">
        <x:v>中等</x:v>
      </x:c>
      <x:c r="L219" s="145" t="str">
        <x:v>图与并查集</x:v>
      </x:c>
      <x:c r="M219" s="145" t="str">
        <x:v>图论</x:v>
      </x:c>
      <x:c r="N219" s="165" t="str">
        <x:v>多源广搜分层</x:v>
      </x:c>
      <x:c r="O219" s="165" t="str">
        <x:v>Grind 75核心</x:v>
      </x:c>
      <x:c r="P219" s="171" t="n">
        <x:v>15</x:v>
      </x:c>
      <x:c r="Q219" s="151" t="str">
        <x:v>严格限时独立完成，先说模式与不变量，再回答复杂度和替代方案</x:v>
      </x:c>
      <x:c r="R219" s="145" t="str">
        <x:v>未开始</x:v>
      </x:c>
      <x:c r="S219" s="145"/>
      <x:c r="T219" s="177"/>
      <x:c r="U219" s="145"/>
      <x:c r="V219" s="151"/>
      <x:c r="W219" s="112" t="str">
        <x:v>https://leetcode.com/problems/rotting-oranges/</x:v>
      </x:c>
    </x:row>
    <x:row r="220" ht="34" customHeight="1">
      <x:c r="A220" s="99" t="n">
        <x:v>44</x:v>
      </x:c>
      <x:c r="B220" s="145" t="str">
        <x:v>阶段四 专题补强与难题</x:v>
      </x:c>
      <x:c r="C220" s="145" t="n">
        <x:v>1</x:v>
      </x:c>
      <x:c r="D220" s="145" t="str">
        <x:v>短间隔复做</x:v>
      </x:c>
      <x:c r="E220" s="145" t="str">
        <x:v>主动回忆热身</x:v>
      </x:c>
      <x:c r="F220" s="145" t="n">
        <x:v>9</x:v>
      </x:c>
      <x:c r="G220" s="145" t="n">
        <x:v>9</x:v>
      </x:c>
      <x:c r="H220" s="145" t="n">
        <x:v>24</x:v>
      </x:c>
      <x:c r="I220" s="151" t="str">
        <x:v>两两交换链表中的节点</x:v>
      </x:c>
      <x:c r="J220" s="151" t="str">
        <x:v>Swap Nodes in Pairs</x:v>
      </x:c>
      <x:c r="K220" s="145" t="str">
        <x:v>中等</x:v>
      </x:c>
      <x:c r="L220" s="145" t="str">
        <x:v>链表</x:v>
      </x:c>
      <x:c r="M220" s="145" t="str">
        <x:v>链表</x:v>
      </x:c>
      <x:c r="N220" s="165" t="str">
        <x:v>局部指针重连</x:v>
      </x:c>
      <x:c r="O220" s="165" t="str">
        <x:v>代码随想录补充</x:v>
      </x:c>
      <x:c r="P220" s="171" t="n">
        <x:v>16</x:v>
      </x:c>
      <x:c r="Q220" s="151" t="str">
        <x:v>空白编辑器重写，禁止看旧代码，卡住五分钟后只看最小提示</x:v>
      </x:c>
      <x:c r="R220" s="145" t="str">
        <x:v>未开始</x:v>
      </x:c>
      <x:c r="S220" s="145"/>
      <x:c r="T220" s="177"/>
      <x:c r="U220" s="145"/>
      <x:c r="V220" s="151"/>
      <x:c r="W220" s="112" t="str">
        <x:v>https://leetcode.com/problems/swap-nodes-in-pairs/</x:v>
      </x:c>
    </x:row>
    <x:row r="221" ht="34" customHeight="1">
      <x:c r="A221" s="99" t="n">
        <x:v>44</x:v>
      </x:c>
      <x:c r="B221" s="145" t="str">
        <x:v>阶段四 专题补强与难题</x:v>
      </x:c>
      <x:c r="C221" s="145" t="n">
        <x:v>2</x:v>
      </x:c>
      <x:c r="D221" s="145" t="str">
        <x:v>新题</x:v>
      </x:c>
      <x:c r="E221" s="145" t="str">
        <x:v>主练一</x:v>
      </x:c>
      <x:c r="F221" s="145" t="n">
        <x:v>0</x:v>
      </x:c>
      <x:c r="G221" s="145" t="n">
        <x:v>0</x:v>
      </x:c>
      <x:c r="H221" s="145" t="n">
        <x:v>136</x:v>
      </x:c>
      <x:c r="I221" s="151" t="str">
        <x:v>只出现一次的数字</x:v>
      </x:c>
      <x:c r="J221" s="151" t="str">
        <x:v>Single Number</x:v>
      </x:c>
      <x:c r="K221" s="145" t="str">
        <x:v>简单</x:v>
      </x:c>
      <x:c r="L221" s="145" t="str">
        <x:v>位运算</x:v>
      </x:c>
      <x:c r="M221" s="145" t="str">
        <x:v>位运算</x:v>
      </x:c>
      <x:c r="N221" s="165" t="str">
        <x:v>异或消除成对元素</x:v>
      </x:c>
      <x:c r="O221" s="165" t="str">
        <x:v>Grind 169扩展</x:v>
      </x:c>
      <x:c r="P221" s="171" t="n">
        <x:v>15</x:v>
      </x:c>
      <x:c r="Q221" s="151" t="str">
        <x:v>盲做并先口述暴力法与优化方向，到时停笔，完成后写复杂度、边界与可追问点</x:v>
      </x:c>
      <x:c r="R221" s="145" t="str">
        <x:v>未开始</x:v>
      </x:c>
      <x:c r="S221" s="145"/>
      <x:c r="T221" s="177"/>
      <x:c r="U221" s="145"/>
      <x:c r="V221" s="151"/>
      <x:c r="W221" s="112" t="str">
        <x:v>https://leetcode.com/problems/single-number/</x:v>
      </x:c>
    </x:row>
    <x:row r="222" ht="34" customHeight="1">
      <x:c r="A222" s="99" t="n">
        <x:v>44</x:v>
      </x:c>
      <x:c r="B222" s="145" t="str">
        <x:v>阶段四 专题补强与难题</x:v>
      </x:c>
      <x:c r="C222" s="145" t="n">
        <x:v>3</x:v>
      </x:c>
      <x:c r="D222" s="145" t="str">
        <x:v>长间隔复做</x:v>
      </x:c>
      <x:c r="E222" s="145" t="str">
        <x:v>交错复盘</x:v>
      </x:c>
      <x:c r="F222" s="145" t="n">
        <x:v>28</x:v>
      </x:c>
      <x:c r="G222" s="145" t="n">
        <x:v>27</x:v>
      </x:c>
      <x:c r="H222" s="145" t="n">
        <x:v>33</x:v>
      </x:c>
      <x:c r="I222" s="151" t="str">
        <x:v>搜索旋转排序数组</x:v>
      </x:c>
      <x:c r="J222" s="151" t="str">
        <x:v>Search in Rotated Sorted Array</x:v>
      </x:c>
      <x:c r="K222" s="145" t="str">
        <x:v>中等</x:v>
      </x:c>
      <x:c r="L222" s="145" t="str">
        <x:v>二分查找</x:v>
      </x:c>
      <x:c r="M222" s="145" t="str">
        <x:v>二分查找</x:v>
      </x:c>
      <x:c r="N222" s="165" t="str">
        <x:v>有序半区判断</x:v>
      </x:c>
      <x:c r="O222" s="165" t="str">
        <x:v>Grind 75核心</x:v>
      </x:c>
      <x:c r="P222" s="171" t="n">
        <x:v>15</x:v>
      </x:c>
      <x:c r="Q222" s="151" t="str">
        <x:v>严格限时独立完成，先说模式与不变量，再回答复杂度和替代方案</x:v>
      </x:c>
      <x:c r="R222" s="145" t="str">
        <x:v>未开始</x:v>
      </x:c>
      <x:c r="S222" s="145"/>
      <x:c r="T222" s="177"/>
      <x:c r="U222" s="145"/>
      <x:c r="V222" s="151"/>
      <x:c r="W222" s="112" t="str">
        <x:v>https://leetcode.com/problems/search-in-rotated-sorted-array/</x:v>
      </x:c>
    </x:row>
    <x:row r="223" ht="34" customHeight="1">
      <x:c r="A223" s="99" t="n">
        <x:v>44</x:v>
      </x:c>
      <x:c r="B223" s="145" t="str">
        <x:v>阶段四 专题补强与难题</x:v>
      </x:c>
      <x:c r="C223" s="145" t="n">
        <x:v>4</x:v>
      </x:c>
      <x:c r="D223" s="145" t="str">
        <x:v>新题</x:v>
      </x:c>
      <x:c r="E223" s="145" t="str">
        <x:v>主练二</x:v>
      </x:c>
      <x:c r="F223" s="145" t="n">
        <x:v>0</x:v>
      </x:c>
      <x:c r="G223" s="145" t="n">
        <x:v>0</x:v>
      </x:c>
      <x:c r="H223" s="145" t="n">
        <x:v>338</x:v>
      </x:c>
      <x:c r="I223" s="151" t="str">
        <x:v>比特位计数</x:v>
      </x:c>
      <x:c r="J223" s="151" t="str">
        <x:v>Counting Bits</x:v>
      </x:c>
      <x:c r="K223" s="145" t="str">
        <x:v>简单</x:v>
      </x:c>
      <x:c r="L223" s="145" t="str">
        <x:v>动态规划</x:v>
      </x:c>
      <x:c r="M223" s="145" t="str">
        <x:v>位运算与动态规划</x:v>
      </x:c>
      <x:c r="N223" s="165" t="str">
        <x:v>最低位递推</x:v>
      </x:c>
      <x:c r="O223" s="165" t="str">
        <x:v>Grind 169扩展</x:v>
      </x:c>
      <x:c r="P223" s="171" t="n">
        <x:v>20</x:v>
      </x:c>
      <x:c r="Q223" s="151" t="str">
        <x:v>盲做并先口述暴力法与优化方向，到时停笔，完成后写复杂度、边界与可追问点</x:v>
      </x:c>
      <x:c r="R223" s="145" t="str">
        <x:v>未开始</x:v>
      </x:c>
      <x:c r="S223" s="145"/>
      <x:c r="T223" s="177"/>
      <x:c r="U223" s="145"/>
      <x:c r="V223" s="151"/>
      <x:c r="W223" s="112" t="str">
        <x:v>https://leetcode.com/problems/counting-bits/</x:v>
      </x:c>
    </x:row>
    <x:row r="224" ht="34" customHeight="1">
      <x:c r="A224" s="99" t="n">
        <x:v>44</x:v>
      </x:c>
      <x:c r="B224" s="145" t="str">
        <x:v>阶段四 专题补强与难题</x:v>
      </x:c>
      <x:c r="C224" s="145" t="n">
        <x:v>5</x:v>
      </x:c>
      <x:c r="D224" s="145" t="str">
        <x:v>长间隔复做</x:v>
      </x:c>
      <x:c r="E224" s="145" t="str">
        <x:v>长间隔复做</x:v>
      </x:c>
      <x:c r="F224" s="145" t="n">
        <x:v>27</x:v>
      </x:c>
      <x:c r="G224" s="145" t="n">
        <x:v>26</x:v>
      </x:c>
      <x:c r="H224" s="145" t="n">
        <x:v>39</x:v>
      </x:c>
      <x:c r="I224" s="151" t="str">
        <x:v>组合总和</x:v>
      </x:c>
      <x:c r="J224" s="151" t="str">
        <x:v>Combination Sum</x:v>
      </x:c>
      <x:c r="K224" s="145" t="str">
        <x:v>中等</x:v>
      </x:c>
      <x:c r="L224" s="145" t="str">
        <x:v>回溯</x:v>
      </x:c>
      <x:c r="M224" s="145" t="str">
        <x:v>回溯</x:v>
      </x:c>
      <x:c r="N224" s="165" t="str">
        <x:v>可重复选择的组合搜索</x:v>
      </x:c>
      <x:c r="O224" s="165" t="str">
        <x:v>Grind 75核心</x:v>
      </x:c>
      <x:c r="P224" s="171" t="n">
        <x:v>15</x:v>
      </x:c>
      <x:c r="Q224" s="151" t="str">
        <x:v>严格限时独立完成，先说模式与不变量，再回答复杂度和替代方案</x:v>
      </x:c>
      <x:c r="R224" s="145" t="str">
        <x:v>未开始</x:v>
      </x:c>
      <x:c r="S224" s="145"/>
      <x:c r="T224" s="177"/>
      <x:c r="U224" s="145"/>
      <x:c r="V224" s="151"/>
      <x:c r="W224" s="112" t="str">
        <x:v>https://leetcode.com/problems/combination-sum/</x:v>
      </x:c>
    </x:row>
    <x:row r="225" ht="34" customHeight="1">
      <x:c r="A225" s="99" t="n">
        <x:v>45</x:v>
      </x:c>
      <x:c r="B225" s="145" t="str">
        <x:v>阶段四 专题补强与难题</x:v>
      </x:c>
      <x:c r="C225" s="145" t="n">
        <x:v>1</x:v>
      </x:c>
      <x:c r="D225" s="145" t="str">
        <x:v>短间隔复做</x:v>
      </x:c>
      <x:c r="E225" s="145" t="str">
        <x:v>主动回忆热身</x:v>
      </x:c>
      <x:c r="F225" s="145" t="n">
        <x:v>10</x:v>
      </x:c>
      <x:c r="G225" s="145" t="n">
        <x:v>10</x:v>
      </x:c>
      <x:c r="H225" s="145" t="n">
        <x:v>142</x:v>
      </x:c>
      <x:c r="I225" s="151" t="str">
        <x:v>环形链表II</x:v>
      </x:c>
      <x:c r="J225" s="151" t="str">
        <x:v>Linked List Cycle II</x:v>
      </x:c>
      <x:c r="K225" s="145" t="str">
        <x:v>中等</x:v>
      </x:c>
      <x:c r="L225" s="145" t="str">
        <x:v>链表</x:v>
      </x:c>
      <x:c r="M225" s="145" t="str">
        <x:v>链表</x:v>
      </x:c>
      <x:c r="N225" s="165" t="str">
        <x:v>Floyd环入口推导</x:v>
      </x:c>
      <x:c r="O225" s="165" t="str">
        <x:v>代码随想录补充</x:v>
      </x:c>
      <x:c r="P225" s="171" t="n">
        <x:v>16</x:v>
      </x:c>
      <x:c r="Q225" s="151" t="str">
        <x:v>空白编辑器重写，禁止看旧代码，卡住五分钟后只看最小提示</x:v>
      </x:c>
      <x:c r="R225" s="145" t="str">
        <x:v>未开始</x:v>
      </x:c>
      <x:c r="S225" s="145"/>
      <x:c r="T225" s="177"/>
      <x:c r="U225" s="145"/>
      <x:c r="V225" s="151"/>
      <x:c r="W225" s="112" t="str">
        <x:v>https://leetcode.com/problems/linked-list-cycle-ii/</x:v>
      </x:c>
    </x:row>
    <x:row r="226" ht="34" customHeight="1">
      <x:c r="A226" s="99" t="n">
        <x:v>45</x:v>
      </x:c>
      <x:c r="B226" s="145" t="str">
        <x:v>阶段四 专题补强与难题</x:v>
      </x:c>
      <x:c r="C226" s="145" t="n">
        <x:v>2</x:v>
      </x:c>
      <x:c r="D226" s="145" t="str">
        <x:v>新题</x:v>
      </x:c>
      <x:c r="E226" s="145" t="str">
        <x:v>主练一</x:v>
      </x:c>
      <x:c r="F226" s="145" t="n">
        <x:v>0</x:v>
      </x:c>
      <x:c r="G226" s="145" t="n">
        <x:v>0</x:v>
      </x:c>
      <x:c r="H226" s="145" t="n">
        <x:v>684</x:v>
      </x:c>
      <x:c r="I226" s="151" t="str">
        <x:v>冗余连接</x:v>
      </x:c>
      <x:c r="J226" s="151" t="str">
        <x:v>Redundant Connection</x:v>
      </x:c>
      <x:c r="K226" s="145" t="str">
        <x:v>中等</x:v>
      </x:c>
      <x:c r="L226" s="145" t="str">
        <x:v>图与并查集</x:v>
      </x:c>
      <x:c r="M226" s="145" t="str">
        <x:v>图论</x:v>
      </x:c>
      <x:c r="N226" s="165" t="str">
        <x:v>并查集检测成环</x:v>
      </x:c>
      <x:c r="O226" s="165" t="str">
        <x:v>代码随想录图论扩展</x:v>
      </x:c>
      <x:c r="P226" s="171" t="n">
        <x:v>30</x:v>
      </x:c>
      <x:c r="Q226" s="151" t="str">
        <x:v>盲做并先口述暴力法与优化方向，到时停笔，完成后写复杂度、边界与可追问点</x:v>
      </x:c>
      <x:c r="R226" s="145" t="str">
        <x:v>未开始</x:v>
      </x:c>
      <x:c r="S226" s="145"/>
      <x:c r="T226" s="177"/>
      <x:c r="U226" s="145"/>
      <x:c r="V226" s="151"/>
      <x:c r="W226" s="112" t="str">
        <x:v>https://leetcode.com/problems/redundant-connection/</x:v>
      </x:c>
    </x:row>
    <x:row r="227" ht="34" customHeight="1">
      <x:c r="A227" s="99" t="n">
        <x:v>45</x:v>
      </x:c>
      <x:c r="B227" s="145" t="str">
        <x:v>阶段四 专题补强与难题</x:v>
      </x:c>
      <x:c r="C227" s="145" t="n">
        <x:v>3</x:v>
      </x:c>
      <x:c r="D227" s="145" t="str">
        <x:v>短间隔复做</x:v>
      </x:c>
      <x:c r="E227" s="145" t="str">
        <x:v>交错复盘</x:v>
      </x:c>
      <x:c r="F227" s="145" t="n">
        <x:v>9</x:v>
      </x:c>
      <x:c r="G227" s="145" t="n">
        <x:v>9</x:v>
      </x:c>
      <x:c r="H227" s="145" t="n">
        <x:v>560</x:v>
      </x:c>
      <x:c r="I227" s="151" t="str">
        <x:v>和为K的子数组</x:v>
      </x:c>
      <x:c r="J227" s="151" t="str">
        <x:v>Subarray Sum Equals K</x:v>
      </x:c>
      <x:c r="K227" s="145" t="str">
        <x:v>中等</x:v>
      </x:c>
      <x:c r="L227" s="145" t="str">
        <x:v>数组与哈希</x:v>
      </x:c>
      <x:c r="M227" s="145" t="str">
        <x:v>前缀和与哈希</x:v>
      </x:c>
      <x:c r="N227" s="165" t="str">
        <x:v>前缀和频次计数</x:v>
      </x:c>
      <x:c r="O227" s="165" t="str">
        <x:v>Grind 169扩展</x:v>
      </x:c>
      <x:c r="P227" s="171" t="n">
        <x:v>23</x:v>
      </x:c>
      <x:c r="Q227" s="151" t="str">
        <x:v>空白编辑器重写，禁止看旧代码，卡住五分钟后只看最小提示</x:v>
      </x:c>
      <x:c r="R227" s="145" t="str">
        <x:v>未开始</x:v>
      </x:c>
      <x:c r="S227" s="145"/>
      <x:c r="T227" s="177"/>
      <x:c r="U227" s="145"/>
      <x:c r="V227" s="151"/>
      <x:c r="W227" s="112" t="str">
        <x:v>https://leetcode.com/problems/subarray-sum-equals-k/</x:v>
      </x:c>
    </x:row>
    <x:row r="228" ht="34" customHeight="1">
      <x:c r="A228" s="99" t="n">
        <x:v>45</x:v>
      </x:c>
      <x:c r="B228" s="145" t="str">
        <x:v>阶段四 专题补强与难题</x:v>
      </x:c>
      <x:c r="C228" s="145" t="n">
        <x:v>4</x:v>
      </x:c>
      <x:c r="D228" s="145" t="str">
        <x:v>新题</x:v>
      </x:c>
      <x:c r="E228" s="145" t="str">
        <x:v>主练二</x:v>
      </x:c>
      <x:c r="F228" s="145" t="n">
        <x:v>0</x:v>
      </x:c>
      <x:c r="G228" s="145" t="n">
        <x:v>0</x:v>
      </x:c>
      <x:c r="H228" s="145" t="n">
        <x:v>210</x:v>
      </x:c>
      <x:c r="I228" s="151" t="str">
        <x:v>课程表II</x:v>
      </x:c>
      <x:c r="J228" s="151" t="str">
        <x:v>Course Schedule II</x:v>
      </x:c>
      <x:c r="K228" s="145" t="str">
        <x:v>中等</x:v>
      </x:c>
      <x:c r="L228" s="145" t="str">
        <x:v>图与并查集</x:v>
      </x:c>
      <x:c r="M228" s="145" t="str">
        <x:v>图论</x:v>
      </x:c>
      <x:c r="N228" s="165" t="str">
        <x:v>拓扑排序输出路径</x:v>
      </x:c>
      <x:c r="O228" s="165" t="str">
        <x:v>Grind 169扩展</x:v>
      </x:c>
      <x:c r="P228" s="171" t="n">
        <x:v>35</x:v>
      </x:c>
      <x:c r="Q228" s="151" t="str">
        <x:v>盲做并先口述暴力法与优化方向，到时停笔，完成后写复杂度、边界与可追问点</x:v>
      </x:c>
      <x:c r="R228" s="145" t="str">
        <x:v>未开始</x:v>
      </x:c>
      <x:c r="S228" s="145"/>
      <x:c r="T228" s="177"/>
      <x:c r="U228" s="145"/>
      <x:c r="V228" s="151"/>
      <x:c r="W228" s="112" t="str">
        <x:v>https://leetcode.com/problems/course-schedule-ii/</x:v>
      </x:c>
    </x:row>
    <x:row r="229" ht="34" customHeight="1">
      <x:c r="A229" s="99" t="n">
        <x:v>45</x:v>
      </x:c>
      <x:c r="B229" s="145" t="str">
        <x:v>阶段四 专题补强与难题</x:v>
      </x:c>
      <x:c r="C229" s="145" t="n">
        <x:v>5</x:v>
      </x:c>
      <x:c r="D229" s="145" t="str">
        <x:v>长间隔复做</x:v>
      </x:c>
      <x:c r="E229" s="145" t="str">
        <x:v>长间隔复做</x:v>
      </x:c>
      <x:c r="F229" s="145" t="n">
        <x:v>28</x:v>
      </x:c>
      <x:c r="G229" s="145" t="n">
        <x:v>27</x:v>
      </x:c>
      <x:c r="H229" s="145" t="n">
        <x:v>46</x:v>
      </x:c>
      <x:c r="I229" s="151" t="str">
        <x:v>全排列</x:v>
      </x:c>
      <x:c r="J229" s="151" t="str">
        <x:v>Permutations</x:v>
      </x:c>
      <x:c r="K229" s="145" t="str">
        <x:v>中等</x:v>
      </x:c>
      <x:c r="L229" s="145" t="str">
        <x:v>回溯</x:v>
      </x:c>
      <x:c r="M229" s="145" t="str">
        <x:v>回溯</x:v>
      </x:c>
      <x:c r="N229" s="165" t="str">
        <x:v>排列搜索与使用标记</x:v>
      </x:c>
      <x:c r="O229" s="165" t="str">
        <x:v>Grind 75核心</x:v>
      </x:c>
      <x:c r="P229" s="171" t="n">
        <x:v>15</x:v>
      </x:c>
      <x:c r="Q229" s="151" t="str">
        <x:v>严格限时独立完成，先说模式与不变量，再回答复杂度和替代方案</x:v>
      </x:c>
      <x:c r="R229" s="145" t="str">
        <x:v>未开始</x:v>
      </x:c>
      <x:c r="S229" s="145"/>
      <x:c r="T229" s="177"/>
      <x:c r="U229" s="145"/>
      <x:c r="V229" s="151"/>
      <x:c r="W229" s="112" t="str">
        <x:v>https://leetcode.com/problems/permutations/</x:v>
      </x:c>
    </x:row>
    <x:row r="230" ht="34" customHeight="1">
      <x:c r="A230" s="99" t="n">
        <x:v>46</x:v>
      </x:c>
      <x:c r="B230" s="145" t="str">
        <x:v>阶段五 交错限时模拟</x:v>
      </x:c>
      <x:c r="C230" s="145" t="n">
        <x:v>1</x:v>
      </x:c>
      <x:c r="D230" s="145" t="str">
        <x:v>短间隔复做</x:v>
      </x:c>
      <x:c r="E230" s="145" t="str">
        <x:v>热身题</x:v>
      </x:c>
      <x:c r="F230" s="145" t="n">
        <x:v>9</x:v>
      </x:c>
      <x:c r="G230" s="145" t="n">
        <x:v>9</x:v>
      </x:c>
      <x:c r="H230" s="145" t="n">
        <x:v>347</x:v>
      </x:c>
      <x:c r="I230" s="151" t="str">
        <x:v>前K个高频元素</x:v>
      </x:c>
      <x:c r="J230" s="151" t="str">
        <x:v>Top K Frequent Elements</x:v>
      </x:c>
      <x:c r="K230" s="145" t="str">
        <x:v>中等</x:v>
      </x:c>
      <x:c r="L230" s="145" t="str">
        <x:v>堆与优先队列</x:v>
      </x:c>
      <x:c r="M230" s="145" t="str">
        <x:v>堆与优先队列</x:v>
      </x:c>
      <x:c r="N230" s="165" t="str">
        <x:v>频次统计与Top K</x:v>
      </x:c>
      <x:c r="O230" s="165" t="str">
        <x:v>代码随想录补充</x:v>
      </x:c>
      <x:c r="P230" s="171" t="n">
        <x:v>20</x:v>
      </x:c>
      <x:c r="Q230" s="151" t="str">
        <x:v>空白编辑器重写，禁止看旧代码，卡住五分钟后只看最小提示</x:v>
      </x:c>
      <x:c r="R230" s="145" t="str">
        <x:v>未开始</x:v>
      </x:c>
      <x:c r="S230" s="145"/>
      <x:c r="T230" s="177"/>
      <x:c r="U230" s="145"/>
      <x:c r="V230" s="151"/>
      <x:c r="W230" s="112" t="str">
        <x:v>https://leetcode.com/problems/top-k-frequent-elements/</x:v>
      </x:c>
    </x:row>
    <x:row r="231" ht="34" customHeight="1">
      <x:c r="A231" s="99" t="n">
        <x:v>46</x:v>
      </x:c>
      <x:c r="B231" s="145" t="str">
        <x:v>阶段五 交错限时模拟</x:v>
      </x:c>
      <x:c r="C231" s="145" t="n">
        <x:v>2</x:v>
      </x:c>
      <x:c r="D231" s="145" t="str">
        <x:v>长间隔复做</x:v>
      </x:c>
      <x:c r="E231" s="145" t="str">
        <x:v>模拟题一</x:v>
      </x:c>
      <x:c r="F231" s="145" t="n">
        <x:v>28</x:v>
      </x:c>
      <x:c r="G231" s="145" t="n">
        <x:v>27</x:v>
      </x:c>
      <x:c r="H231" s="145" t="n">
        <x:v>56</x:v>
      </x:c>
      <x:c r="I231" s="151" t="str">
        <x:v>合并区间</x:v>
      </x:c>
      <x:c r="J231" s="151" t="str">
        <x:v>Merge Intervals</x:v>
      </x:c>
      <x:c r="K231" s="145" t="str">
        <x:v>中等</x:v>
      </x:c>
      <x:c r="L231" s="145" t="str">
        <x:v>贪心与区间</x:v>
      </x:c>
      <x:c r="M231" s="145" t="str">
        <x:v>区间与贪心</x:v>
      </x:c>
      <x:c r="N231" s="165" t="str">
        <x:v>排序后合并</x:v>
      </x:c>
      <x:c r="O231" s="165" t="str">
        <x:v>Grind 75核心</x:v>
      </x:c>
      <x:c r="P231" s="171" t="n">
        <x:v>15</x:v>
      </x:c>
      <x:c r="Q231" s="151" t="str">
        <x:v>严格限时独立完成，先说模式与不变量，再回答复杂度和替代方案</x:v>
      </x:c>
      <x:c r="R231" s="145" t="str">
        <x:v>未开始</x:v>
      </x:c>
      <x:c r="S231" s="145"/>
      <x:c r="T231" s="177"/>
      <x:c r="U231" s="145"/>
      <x:c r="V231" s="151"/>
      <x:c r="W231" s="112" t="str">
        <x:v>https://leetcode.com/problems/merge-intervals/</x:v>
      </x:c>
    </x:row>
    <x:row r="232" ht="34" customHeight="1">
      <x:c r="A232" s="99" t="n">
        <x:v>46</x:v>
      </x:c>
      <x:c r="B232" s="145" t="str">
        <x:v>阶段五 交错限时模拟</x:v>
      </x:c>
      <x:c r="C232" s="145" t="n">
        <x:v>3</x:v>
      </x:c>
      <x:c r="D232" s="145" t="str">
        <x:v>长间隔复做</x:v>
      </x:c>
      <x:c r="E232" s="145" t="str">
        <x:v>模拟题二</x:v>
      </x:c>
      <x:c r="F232" s="145" t="n">
        <x:v>28</x:v>
      </x:c>
      <x:c r="G232" s="145" t="n">
        <x:v>27</x:v>
      </x:c>
      <x:c r="H232" s="145" t="n">
        <x:v>236</x:v>
      </x:c>
      <x:c r="I232" s="151" t="str">
        <x:v>二叉树的最近公共祖先</x:v>
      </x:c>
      <x:c r="J232" s="151" t="str">
        <x:v>Lowest Common Ancestor of a Binary Tree</x:v>
      </x:c>
      <x:c r="K232" s="145" t="str">
        <x:v>中等</x:v>
      </x:c>
      <x:c r="L232" s="145" t="str">
        <x:v>树与递归</x:v>
      </x:c>
      <x:c r="M232" s="145" t="str">
        <x:v>二叉树</x:v>
      </x:c>
      <x:c r="N232" s="165" t="str">
        <x:v>后序递归汇总</x:v>
      </x:c>
      <x:c r="O232" s="165" t="str">
        <x:v>Grind 75核心</x:v>
      </x:c>
      <x:c r="P232" s="171" t="n">
        <x:v>12</x:v>
      </x:c>
      <x:c r="Q232" s="151" t="str">
        <x:v>严格限时独立完成，先说模式与不变量，再回答复杂度和替代方案</x:v>
      </x:c>
      <x:c r="R232" s="145" t="str">
        <x:v>未开始</x:v>
      </x:c>
      <x:c r="S232" s="145"/>
      <x:c r="T232" s="177"/>
      <x:c r="U232" s="145"/>
      <x:c r="V232" s="151"/>
      <x:c r="W232" s="112" t="str">
        <x:v>https://leetcode.com/problems/lowest-common-ancestor-of-a-binary-tree/</x:v>
      </x:c>
    </x:row>
    <x:row r="233" ht="34" customHeight="1">
      <x:c r="A233" s="99" t="n">
        <x:v>46</x:v>
      </x:c>
      <x:c r="B233" s="145" t="str">
        <x:v>阶段五 交错限时模拟</x:v>
      </x:c>
      <x:c r="C233" s="145" t="n">
        <x:v>4</x:v>
      </x:c>
      <x:c r="D233" s="145" t="str">
        <x:v>短间隔复做</x:v>
      </x:c>
      <x:c r="E233" s="145" t="str">
        <x:v>进阶题</x:v>
      </x:c>
      <x:c r="F233" s="145" t="n">
        <x:v>10</x:v>
      </x:c>
      <x:c r="G233" s="145" t="n">
        <x:v>10</x:v>
      </x:c>
      <x:c r="H233" s="145" t="n">
        <x:v>239</x:v>
      </x:c>
      <x:c r="I233" s="151" t="str">
        <x:v>滑动窗口最大值</x:v>
      </x:c>
      <x:c r="J233" s="151" t="str">
        <x:v>Sliding Window Maximum</x:v>
      </x:c>
      <x:c r="K233" s="145" t="str">
        <x:v>困难</x:v>
      </x:c>
      <x:c r="L233" s="145" t="str">
        <x:v>滑动窗口与单调队列</x:v>
      </x:c>
      <x:c r="M233" s="145" t="str">
        <x:v>单调队列</x:v>
      </x:c>
      <x:c r="N233" s="165" t="str">
        <x:v>维护单调双端队列</x:v>
      </x:c>
      <x:c r="O233" s="165" t="str">
        <x:v>代码随想录补充</x:v>
      </x:c>
      <x:c r="P233" s="171" t="n">
        <x:v>23</x:v>
      </x:c>
      <x:c r="Q233" s="151" t="str">
        <x:v>空白编辑器重写，禁止看旧代码，卡住五分钟后只看最小提示</x:v>
      </x:c>
      <x:c r="R233" s="145" t="str">
        <x:v>未开始</x:v>
      </x:c>
      <x:c r="S233" s="145"/>
      <x:c r="T233" s="177"/>
      <x:c r="U233" s="145"/>
      <x:c r="V233" s="151"/>
      <x:c r="W233" s="112" t="str">
        <x:v>https://leetcode.com/problems/sliding-window-maximum/</x:v>
      </x:c>
    </x:row>
    <x:row r="234" ht="34" customHeight="1">
      <x:c r="A234" s="99" t="n">
        <x:v>46</x:v>
      </x:c>
      <x:c r="B234" s="145" t="str">
        <x:v>阶段五 交错限时模拟</x:v>
      </x:c>
      <x:c r="C234" s="145" t="n">
        <x:v>5</x:v>
      </x:c>
      <x:c r="D234" s="145" t="str">
        <x:v>长间隔复做</x:v>
      </x:c>
      <x:c r="E234" s="145" t="str">
        <x:v>错题回收</x:v>
      </x:c>
      <x:c r="F234" s="145" t="n">
        <x:v>27</x:v>
      </x:c>
      <x:c r="G234" s="145" t="n">
        <x:v>26</x:v>
      </x:c>
      <x:c r="H234" s="145" t="n">
        <x:v>981</x:v>
      </x:c>
      <x:c r="I234" s="151" t="str">
        <x:v>基于时间的键值存储</x:v>
      </x:c>
      <x:c r="J234" s="151" t="str">
        <x:v>Time Based Key Value Store</x:v>
      </x:c>
      <x:c r="K234" s="145" t="str">
        <x:v>中等</x:v>
      </x:c>
      <x:c r="L234" s="145" t="str">
        <x:v>二分查找</x:v>
      </x:c>
      <x:c r="M234" s="145" t="str">
        <x:v>二分查找</x:v>
      </x:c>
      <x:c r="N234" s="165" t="str">
        <x:v>时间序列二分</x:v>
      </x:c>
      <x:c r="O234" s="165" t="str">
        <x:v>Grind 75核心</x:v>
      </x:c>
      <x:c r="P234" s="171" t="n">
        <x:v>18</x:v>
      </x:c>
      <x:c r="Q234" s="151" t="str">
        <x:v>严格限时独立完成，先说模式与不变量，再回答复杂度和替代方案</x:v>
      </x:c>
      <x:c r="R234" s="145" t="str">
        <x:v>未开始</x:v>
      </x:c>
      <x:c r="S234" s="145"/>
      <x:c r="T234" s="177"/>
      <x:c r="U234" s="145"/>
      <x:c r="V234" s="151"/>
      <x:c r="W234" s="112" t="str">
        <x:v>https://leetcode.com/problems/time-based-key-value-store/</x:v>
      </x:c>
    </x:row>
    <x:row r="235" ht="34" customHeight="1">
      <x:c r="A235" s="99" t="n">
        <x:v>47</x:v>
      </x:c>
      <x:c r="B235" s="145" t="str">
        <x:v>阶段五 交错限时模拟</x:v>
      </x:c>
      <x:c r="C235" s="145" t="n">
        <x:v>1</x:v>
      </x:c>
      <x:c r="D235" s="145" t="str">
        <x:v>短间隔复做</x:v>
      </x:c>
      <x:c r="E235" s="145" t="str">
        <x:v>热身题</x:v>
      </x:c>
      <x:c r="F235" s="145" t="n">
        <x:v>10</x:v>
      </x:c>
      <x:c r="G235" s="145" t="n">
        <x:v>10</x:v>
      </x:c>
      <x:c r="H235" s="145" t="n">
        <x:v>112</x:v>
      </x:c>
      <x:c r="I235" s="151" t="str">
        <x:v>路径总和</x:v>
      </x:c>
      <x:c r="J235" s="151" t="str">
        <x:v>Path Sum</x:v>
      </x:c>
      <x:c r="K235" s="145" t="str">
        <x:v>简单</x:v>
      </x:c>
      <x:c r="L235" s="145" t="str">
        <x:v>树与递归</x:v>
      </x:c>
      <x:c r="M235" s="145" t="str">
        <x:v>二叉树</x:v>
      </x:c>
      <x:c r="N235" s="165" t="str">
        <x:v>根到叶路径递归</x:v>
      </x:c>
      <x:c r="O235" s="165" t="str">
        <x:v>代码随想录补充</x:v>
      </x:c>
      <x:c r="P235" s="171" t="n">
        <x:v>13</x:v>
      </x:c>
      <x:c r="Q235" s="151" t="str">
        <x:v>空白编辑器重写，禁止看旧代码，卡住五分钟后只看最小提示</x:v>
      </x:c>
      <x:c r="R235" s="145" t="str">
        <x:v>未开始</x:v>
      </x:c>
      <x:c r="S235" s="145"/>
      <x:c r="T235" s="177"/>
      <x:c r="U235" s="145"/>
      <x:c r="V235" s="151"/>
      <x:c r="W235" s="112" t="str">
        <x:v>https://leetcode.com/problems/path-sum/</x:v>
      </x:c>
    </x:row>
    <x:row r="236" ht="34" customHeight="1">
      <x:c r="A236" s="99" t="n">
        <x:v>47</x:v>
      </x:c>
      <x:c r="B236" s="145" t="str">
        <x:v>阶段五 交错限时模拟</x:v>
      </x:c>
      <x:c r="C236" s="145" t="n">
        <x:v>2</x:v>
      </x:c>
      <x:c r="D236" s="145" t="str">
        <x:v>短间隔复做</x:v>
      </x:c>
      <x:c r="E236" s="145" t="str">
        <x:v>模拟题一</x:v>
      </x:c>
      <x:c r="F236" s="145" t="n">
        <x:v>9</x:v>
      </x:c>
      <x:c r="G236" s="145" t="n">
        <x:v>9</x:v>
      </x:c>
      <x:c r="H236" s="145" t="n">
        <x:v>77</x:v>
      </x:c>
      <x:c r="I236" s="151" t="str">
        <x:v>组合</x:v>
      </x:c>
      <x:c r="J236" s="151" t="str">
        <x:v>Combinations</x:v>
      </x:c>
      <x:c r="K236" s="145" t="str">
        <x:v>中等</x:v>
      </x:c>
      <x:c r="L236" s="145" t="str">
        <x:v>回溯</x:v>
      </x:c>
      <x:c r="M236" s="145" t="str">
        <x:v>回溯</x:v>
      </x:c>
      <x:c r="N236" s="165" t="str">
        <x:v>组合搜索与剪枝</x:v>
      </x:c>
      <x:c r="O236" s="165" t="str">
        <x:v>代码随想录补充</x:v>
      </x:c>
      <x:c r="P236" s="171" t="n">
        <x:v>16</x:v>
      </x:c>
      <x:c r="Q236" s="151" t="str">
        <x:v>空白编辑器重写，禁止看旧代码，卡住五分钟后只看最小提示</x:v>
      </x:c>
      <x:c r="R236" s="145" t="str">
        <x:v>未开始</x:v>
      </x:c>
      <x:c r="S236" s="145"/>
      <x:c r="T236" s="177"/>
      <x:c r="U236" s="145"/>
      <x:c r="V236" s="151"/>
      <x:c r="W236" s="112" t="str">
        <x:v>https://leetcode.com/problems/combinations/</x:v>
      </x:c>
    </x:row>
    <x:row r="237" ht="34" customHeight="1">
      <x:c r="A237" s="99" t="n">
        <x:v>47</x:v>
      </x:c>
      <x:c r="B237" s="145" t="str">
        <x:v>阶段五 交错限时模拟</x:v>
      </x:c>
      <x:c r="C237" s="145" t="n">
        <x:v>3</x:v>
      </x:c>
      <x:c r="D237" s="145" t="str">
        <x:v>长间隔复做</x:v>
      </x:c>
      <x:c r="E237" s="145" t="str">
        <x:v>模拟题二</x:v>
      </x:c>
      <x:c r="F237" s="145" t="n">
        <x:v>28</x:v>
      </x:c>
      <x:c r="G237" s="145" t="n">
        <x:v>27</x:v>
      </x:c>
      <x:c r="H237" s="145" t="n">
        <x:v>721</x:v>
      </x:c>
      <x:c r="I237" s="151" t="str">
        <x:v>账户合并</x:v>
      </x:c>
      <x:c r="J237" s="151" t="str">
        <x:v>Accounts Merge</x:v>
      </x:c>
      <x:c r="K237" s="145" t="str">
        <x:v>中等</x:v>
      </x:c>
      <x:c r="L237" s="145" t="str">
        <x:v>图与并查集</x:v>
      </x:c>
      <x:c r="M237" s="145" t="str">
        <x:v>图论</x:v>
      </x:c>
      <x:c r="N237" s="165" t="str">
        <x:v>并查集或图遍历</x:v>
      </x:c>
      <x:c r="O237" s="165" t="str">
        <x:v>Grind 75核心</x:v>
      </x:c>
      <x:c r="P237" s="171" t="n">
        <x:v>15</x:v>
      </x:c>
      <x:c r="Q237" s="151" t="str">
        <x:v>严格限时独立完成，先说模式与不变量，再回答复杂度和替代方案</x:v>
      </x:c>
      <x:c r="R237" s="145" t="str">
        <x:v>未开始</x:v>
      </x:c>
      <x:c r="S237" s="145"/>
      <x:c r="T237" s="177"/>
      <x:c r="U237" s="145"/>
      <x:c r="V237" s="151"/>
      <x:c r="W237" s="112" t="str">
        <x:v>https://leetcode.com/problems/accounts-merge/</x:v>
      </x:c>
    </x:row>
    <x:row r="238" ht="34" customHeight="1">
      <x:c r="A238" s="99" t="n">
        <x:v>47</x:v>
      </x:c>
      <x:c r="B238" s="145" t="str">
        <x:v>阶段五 交错限时模拟</x:v>
      </x:c>
      <x:c r="C238" s="145" t="n">
        <x:v>4</x:v>
      </x:c>
      <x:c r="D238" s="145" t="str">
        <x:v>长间隔复做</x:v>
      </x:c>
      <x:c r="E238" s="145" t="str">
        <x:v>进阶题</x:v>
      </x:c>
      <x:c r="F238" s="145" t="n">
        <x:v>27</x:v>
      </x:c>
      <x:c r="G238" s="145" t="n">
        <x:v>25</x:v>
      </x:c>
      <x:c r="H238" s="145" t="n">
        <x:v>139</x:v>
      </x:c>
      <x:c r="I238" s="151" t="str">
        <x:v>单词拆分</x:v>
      </x:c>
      <x:c r="J238" s="151" t="str">
        <x:v>Word Break</x:v>
      </x:c>
      <x:c r="K238" s="145" t="str">
        <x:v>中等</x:v>
      </x:c>
      <x:c r="L238" s="145" t="str">
        <x:v>动态规划</x:v>
      </x:c>
      <x:c r="M238" s="145" t="str">
        <x:v>动态规划</x:v>
      </x:c>
      <x:c r="N238" s="165" t="str">
        <x:v>字符串划分状态转移</x:v>
      </x:c>
      <x:c r="O238" s="165" t="str">
        <x:v>Grind 75核心</x:v>
      </x:c>
      <x:c r="P238" s="171" t="n">
        <x:v>15</x:v>
      </x:c>
      <x:c r="Q238" s="151" t="str">
        <x:v>严格限时独立完成，先说模式与不变量，再回答复杂度和替代方案</x:v>
      </x:c>
      <x:c r="R238" s="145" t="str">
        <x:v>未开始</x:v>
      </x:c>
      <x:c r="S238" s="145"/>
      <x:c r="T238" s="177"/>
      <x:c r="U238" s="145"/>
      <x:c r="V238" s="151"/>
      <x:c r="W238" s="112" t="str">
        <x:v>https://leetcode.com/problems/word-break/</x:v>
      </x:c>
    </x:row>
    <x:row r="239" ht="34" customHeight="1">
      <x:c r="A239" s="99" t="n">
        <x:v>47</x:v>
      </x:c>
      <x:c r="B239" s="145" t="str">
        <x:v>阶段五 交错限时模拟</x:v>
      </x:c>
      <x:c r="C239" s="145" t="n">
        <x:v>5</x:v>
      </x:c>
      <x:c r="D239" s="145" t="str">
        <x:v>长间隔复做</x:v>
      </x:c>
      <x:c r="E239" s="145" t="str">
        <x:v>错题回收</x:v>
      </x:c>
      <x:c r="F239" s="145" t="n">
        <x:v>27</x:v>
      </x:c>
      <x:c r="G239" s="145" t="n">
        <x:v>25</x:v>
      </x:c>
      <x:c r="H239" s="145" t="n">
        <x:v>75</x:v>
      </x:c>
      <x:c r="I239" s="151" t="str">
        <x:v>颜色分类</x:v>
      </x:c>
      <x:c r="J239" s="151" t="str">
        <x:v>Sort Colors</x:v>
      </x:c>
      <x:c r="K239" s="145" t="str">
        <x:v>中等</x:v>
      </x:c>
      <x:c r="L239" s="145" t="str">
        <x:v>双指针</x:v>
      </x:c>
      <x:c r="M239" s="145" t="str">
        <x:v>双指针</x:v>
      </x:c>
      <x:c r="N239" s="165" t="str">
        <x:v>荷兰国旗三指针</x:v>
      </x:c>
      <x:c r="O239" s="165" t="str">
        <x:v>Grind 75核心</x:v>
      </x:c>
      <x:c r="P239" s="171" t="n">
        <x:v>12</x:v>
      </x:c>
      <x:c r="Q239" s="151" t="str">
        <x:v>严格限时独立完成，先说模式与不变量，再回答复杂度和替代方案</x:v>
      </x:c>
      <x:c r="R239" s="145" t="str">
        <x:v>未开始</x:v>
      </x:c>
      <x:c r="S239" s="145"/>
      <x:c r="T239" s="177"/>
      <x:c r="U239" s="145"/>
      <x:c r="V239" s="151"/>
      <x:c r="W239" s="112" t="str">
        <x:v>https://leetcode.com/problems/sort-colors/</x:v>
      </x:c>
    </x:row>
    <x:row r="240" ht="34" customHeight="1">
      <x:c r="A240" s="99" t="n">
        <x:v>48</x:v>
      </x:c>
      <x:c r="B240" s="145" t="str">
        <x:v>阶段五 交错限时模拟</x:v>
      </x:c>
      <x:c r="C240" s="145" t="n">
        <x:v>1</x:v>
      </x:c>
      <x:c r="D240" s="145" t="str">
        <x:v>短间隔复做</x:v>
      </x:c>
      <x:c r="E240" s="145" t="str">
        <x:v>热身题</x:v>
      </x:c>
      <x:c r="F240" s="145" t="n">
        <x:v>10</x:v>
      </x:c>
      <x:c r="G240" s="145" t="n">
        <x:v>10</x:v>
      </x:c>
      <x:c r="H240" s="145" t="n">
        <x:v>40</x:v>
      </x:c>
      <x:c r="I240" s="151" t="str">
        <x:v>组合总和II</x:v>
      </x:c>
      <x:c r="J240" s="151" t="str">
        <x:v>Combination Sum II</x:v>
      </x:c>
      <x:c r="K240" s="145" t="str">
        <x:v>中等</x:v>
      </x:c>
      <x:c r="L240" s="145" t="str">
        <x:v>回溯</x:v>
      </x:c>
      <x:c r="M240" s="145" t="str">
        <x:v>回溯</x:v>
      </x:c>
      <x:c r="N240" s="165" t="str">
        <x:v>树层去重</x:v>
      </x:c>
      <x:c r="O240" s="165" t="str">
        <x:v>代码随想录补充</x:v>
      </x:c>
      <x:c r="P240" s="171" t="n">
        <x:v>20</x:v>
      </x:c>
      <x:c r="Q240" s="151" t="str">
        <x:v>空白编辑器重写，禁止看旧代码，卡住五分钟后只看最小提示</x:v>
      </x:c>
      <x:c r="R240" s="145" t="str">
        <x:v>未开始</x:v>
      </x:c>
      <x:c r="S240" s="145"/>
      <x:c r="T240" s="177"/>
      <x:c r="U240" s="145"/>
      <x:c r="V240" s="151"/>
      <x:c r="W240" s="112" t="str">
        <x:v>https://leetcode.com/problems/combination-sum-ii/</x:v>
      </x:c>
    </x:row>
    <x:row r="241" ht="34" customHeight="1">
      <x:c r="A241" s="99" t="n">
        <x:v>48</x:v>
      </x:c>
      <x:c r="B241" s="145" t="str">
        <x:v>阶段五 交错限时模拟</x:v>
      </x:c>
      <x:c r="C241" s="145" t="n">
        <x:v>2</x:v>
      </x:c>
      <x:c r="D241" s="145" t="str">
        <x:v>短间隔复做</x:v>
      </x:c>
      <x:c r="E241" s="145" t="str">
        <x:v>模拟题一</x:v>
      </x:c>
      <x:c r="F241" s="145" t="n">
        <x:v>8</x:v>
      </x:c>
      <x:c r="G241" s="145" t="n">
        <x:v>8</x:v>
      </x:c>
      <x:c r="H241" s="145" t="n">
        <x:v>55</x:v>
      </x:c>
      <x:c r="I241" s="151" t="str">
        <x:v>跳跃游戏</x:v>
      </x:c>
      <x:c r="J241" s="151" t="str">
        <x:v>Jump Game</x:v>
      </x:c>
      <x:c r="K241" s="145" t="str">
        <x:v>中等</x:v>
      </x:c>
      <x:c r="L241" s="145" t="str">
        <x:v>贪心与区间</x:v>
      </x:c>
      <x:c r="M241" s="145" t="str">
        <x:v>贪心</x:v>
      </x:c>
      <x:c r="N241" s="165" t="str">
        <x:v>维护最远覆盖范围</x:v>
      </x:c>
      <x:c r="O241" s="165" t="str">
        <x:v>代码随想录补充</x:v>
      </x:c>
      <x:c r="P241" s="171" t="n">
        <x:v>16</x:v>
      </x:c>
      <x:c r="Q241" s="151" t="str">
        <x:v>空白编辑器重写，禁止看旧代码，卡住五分钟后只看最小提示</x:v>
      </x:c>
      <x:c r="R241" s="145" t="str">
        <x:v>未开始</x:v>
      </x:c>
      <x:c r="S241" s="145"/>
      <x:c r="T241" s="177"/>
      <x:c r="U241" s="145"/>
      <x:c r="V241" s="151"/>
      <x:c r="W241" s="112" t="str">
        <x:v>https://leetcode.com/problems/jump-game/</x:v>
      </x:c>
    </x:row>
    <x:row r="242" ht="34" customHeight="1">
      <x:c r="A242" s="99" t="n">
        <x:v>48</x:v>
      </x:c>
      <x:c r="B242" s="145" t="str">
        <x:v>阶段五 交错限时模拟</x:v>
      </x:c>
      <x:c r="C242" s="145" t="n">
        <x:v>3</x:v>
      </x:c>
      <x:c r="D242" s="145" t="str">
        <x:v>短间隔复做</x:v>
      </x:c>
      <x:c r="E242" s="145" t="str">
        <x:v>模拟题二</x:v>
      </x:c>
      <x:c r="F242" s="145" t="n">
        <x:v>8</x:v>
      </x:c>
      <x:c r="G242" s="145" t="n">
        <x:v>8</x:v>
      </x:c>
      <x:c r="H242" s="145" t="n">
        <x:v>435</x:v>
      </x:c>
      <x:c r="I242" s="151" t="str">
        <x:v>无重叠区间</x:v>
      </x:c>
      <x:c r="J242" s="151" t="str">
        <x:v>Non overlapping Intervals</x:v>
      </x:c>
      <x:c r="K242" s="145" t="str">
        <x:v>中等</x:v>
      </x:c>
      <x:c r="L242" s="145" t="str">
        <x:v>贪心与区间</x:v>
      </x:c>
      <x:c r="M242" s="145" t="str">
        <x:v>区间与贪心</x:v>
      </x:c>
      <x:c r="N242" s="165" t="str">
        <x:v>按结束点调度</x:v>
      </x:c>
      <x:c r="O242" s="165" t="str">
        <x:v>代码随想录补充</x:v>
      </x:c>
      <x:c r="P242" s="171" t="n">
        <x:v>20</x:v>
      </x:c>
      <x:c r="Q242" s="151" t="str">
        <x:v>空白编辑器重写，禁止看旧代码，卡住五分钟后只看最小提示</x:v>
      </x:c>
      <x:c r="R242" s="145" t="str">
        <x:v>未开始</x:v>
      </x:c>
      <x:c r="S242" s="145"/>
      <x:c r="T242" s="177"/>
      <x:c r="U242" s="145"/>
      <x:c r="V242" s="151"/>
      <x:c r="W242" s="112" t="str">
        <x:v>https://leetcode.com/problems/non-overlapping-intervals/</x:v>
      </x:c>
    </x:row>
    <x:row r="243" ht="34" customHeight="1">
      <x:c r="A243" s="99" t="n">
        <x:v>48</x:v>
      </x:c>
      <x:c r="B243" s="145" t="str">
        <x:v>阶段五 交错限时模拟</x:v>
      </x:c>
      <x:c r="C243" s="145" t="n">
        <x:v>4</x:v>
      </x:c>
      <x:c r="D243" s="145" t="str">
        <x:v>长间隔复做</x:v>
      </x:c>
      <x:c r="E243" s="145" t="str">
        <x:v>进阶题</x:v>
      </x:c>
      <x:c r="F243" s="145" t="n">
        <x:v>27</x:v>
      </x:c>
      <x:c r="G243" s="145" t="n">
        <x:v>24</x:v>
      </x:c>
      <x:c r="H243" s="145" t="n">
        <x:v>8</x:v>
      </x:c>
      <x:c r="I243" s="151" t="str">
        <x:v>字符串转换整数</x:v>
      </x:c>
      <x:c r="J243" s="151" t="str">
        <x:v>String to Integer atoi</x:v>
      </x:c>
      <x:c r="K243" s="145" t="str">
        <x:v>中等</x:v>
      </x:c>
      <x:c r="L243" s="145" t="str">
        <x:v>字符串</x:v>
      </x:c>
      <x:c r="M243" s="145" t="str">
        <x:v>字符串与模拟</x:v>
      </x:c>
      <x:c r="N243" s="165" t="str">
        <x:v>状态解析与溢出处理</x:v>
      </x:c>
      <x:c r="O243" s="165" t="str">
        <x:v>Grind 75核心</x:v>
      </x:c>
      <x:c r="P243" s="171" t="n">
        <x:v>12</x:v>
      </x:c>
      <x:c r="Q243" s="151" t="str">
        <x:v>严格限时独立完成，先说模式与不变量，再回答复杂度和替代方案</x:v>
      </x:c>
      <x:c r="R243" s="145" t="str">
        <x:v>未开始</x:v>
      </x:c>
      <x:c r="S243" s="145"/>
      <x:c r="T243" s="177"/>
      <x:c r="U243" s="145"/>
      <x:c r="V243" s="151"/>
      <x:c r="W243" s="112" t="str">
        <x:v>https://leetcode.com/problems/string-to-integer-atoi/</x:v>
      </x:c>
    </x:row>
    <x:row r="244" ht="34" customHeight="1">
      <x:c r="A244" s="99" t="n">
        <x:v>48</x:v>
      </x:c>
      <x:c r="B244" s="145" t="str">
        <x:v>阶段五 交错限时模拟</x:v>
      </x:c>
      <x:c r="C244" s="145" t="n">
        <x:v>5</x:v>
      </x:c>
      <x:c r="D244" s="145" t="str">
        <x:v>长间隔复做</x:v>
      </x:c>
      <x:c r="E244" s="145" t="str">
        <x:v>错题回收</x:v>
      </x:c>
      <x:c r="F244" s="145" t="n">
        <x:v>27</x:v>
      </x:c>
      <x:c r="G244" s="145" t="n">
        <x:v>25</x:v>
      </x:c>
      <x:c r="H244" s="145" t="n">
        <x:v>416</x:v>
      </x:c>
      <x:c r="I244" s="151" t="str">
        <x:v>分割等和子集</x:v>
      </x:c>
      <x:c r="J244" s="151" t="str">
        <x:v>Partition Equal Subset Sum</x:v>
      </x:c>
      <x:c r="K244" s="145" t="str">
        <x:v>中等</x:v>
      </x:c>
      <x:c r="L244" s="145" t="str">
        <x:v>动态规划</x:v>
      </x:c>
      <x:c r="M244" s="145" t="str">
        <x:v>动态规划</x:v>
      </x:c>
      <x:c r="N244" s="165" t="str">
        <x:v>零一背包可行性</x:v>
      </x:c>
      <x:c r="O244" s="165" t="str">
        <x:v>Grind 75核心</x:v>
      </x:c>
      <x:c r="P244" s="171" t="n">
        <x:v>15</x:v>
      </x:c>
      <x:c r="Q244" s="151" t="str">
        <x:v>严格限时独立完成，先说模式与不变量，再回答复杂度和替代方案</x:v>
      </x:c>
      <x:c r="R244" s="145" t="str">
        <x:v>未开始</x:v>
      </x:c>
      <x:c r="S244" s="145"/>
      <x:c r="T244" s="177"/>
      <x:c r="U244" s="145"/>
      <x:c r="V244" s="151"/>
      <x:c r="W244" s="112" t="str">
        <x:v>https://leetcode.com/problems/partition-equal-subset-sum/</x:v>
      </x:c>
    </x:row>
    <x:row r="245" ht="34" customHeight="1">
      <x:c r="A245" s="99" t="n">
        <x:v>49</x:v>
      </x:c>
      <x:c r="B245" s="145" t="str">
        <x:v>阶段五 交错限时模拟</x:v>
      </x:c>
      <x:c r="C245" s="145" t="n">
        <x:v>1</x:v>
      </x:c>
      <x:c r="D245" s="145" t="str">
        <x:v>短间隔复做</x:v>
      </x:c>
      <x:c r="E245" s="145" t="str">
        <x:v>热身题</x:v>
      </x:c>
      <x:c r="F245" s="145" t="n">
        <x:v>10</x:v>
      </x:c>
      <x:c r="G245" s="145" t="n">
        <x:v>10</x:v>
      </x:c>
      <x:c r="H245" s="145" t="n">
        <x:v>131</x:v>
      </x:c>
      <x:c r="I245" s="151" t="str">
        <x:v>分割回文串</x:v>
      </x:c>
      <x:c r="J245" s="151" t="str">
        <x:v>Palindrome Partitioning</x:v>
      </x:c>
      <x:c r="K245" s="145" t="str">
        <x:v>中等</x:v>
      </x:c>
      <x:c r="L245" s="145" t="str">
        <x:v>回溯</x:v>
      </x:c>
      <x:c r="M245" s="145" t="str">
        <x:v>回溯</x:v>
      </x:c>
      <x:c r="N245" s="165" t="str">
        <x:v>分割型回溯</x:v>
      </x:c>
      <x:c r="O245" s="165" t="str">
        <x:v>代码随想录补充</x:v>
      </x:c>
      <x:c r="P245" s="171" t="n">
        <x:v>20</x:v>
      </x:c>
      <x:c r="Q245" s="151" t="str">
        <x:v>空白编辑器重写，禁止看旧代码，卡住五分钟后只看最小提示</x:v>
      </x:c>
      <x:c r="R245" s="145" t="str">
        <x:v>未开始</x:v>
      </x:c>
      <x:c r="S245" s="145"/>
      <x:c r="T245" s="177"/>
      <x:c r="U245" s="145"/>
      <x:c r="V245" s="151"/>
      <x:c r="W245" s="112" t="str">
        <x:v>https://leetcode.com/problems/palindrome-partitioning/</x:v>
      </x:c>
    </x:row>
    <x:row r="246" ht="34" customHeight="1">
      <x:c r="A246" s="99" t="n">
        <x:v>49</x:v>
      </x:c>
      <x:c r="B246" s="145" t="str">
        <x:v>阶段五 交错限时模拟</x:v>
      </x:c>
      <x:c r="C246" s="145" t="n">
        <x:v>2</x:v>
      </x:c>
      <x:c r="D246" s="145" t="str">
        <x:v>短间隔复做</x:v>
      </x:c>
      <x:c r="E246" s="145" t="str">
        <x:v>模拟题一</x:v>
      </x:c>
      <x:c r="F246" s="145" t="n">
        <x:v>10</x:v>
      </x:c>
      <x:c r="G246" s="145" t="n">
        <x:v>10</x:v>
      </x:c>
      <x:c r="H246" s="145" t="n">
        <x:v>47</x:v>
      </x:c>
      <x:c r="I246" s="151" t="str">
        <x:v>全排列II</x:v>
      </x:c>
      <x:c r="J246" s="151" t="str">
        <x:v>Permutations II</x:v>
      </x:c>
      <x:c r="K246" s="145" t="str">
        <x:v>中等</x:v>
      </x:c>
      <x:c r="L246" s="145" t="str">
        <x:v>回溯</x:v>
      </x:c>
      <x:c r="M246" s="145" t="str">
        <x:v>回溯</x:v>
      </x:c>
      <x:c r="N246" s="165" t="str">
        <x:v>排列去重</x:v>
      </x:c>
      <x:c r="O246" s="165" t="str">
        <x:v>代码随想录补充</x:v>
      </x:c>
      <x:c r="P246" s="171" t="n">
        <x:v>20</x:v>
      </x:c>
      <x:c r="Q246" s="151" t="str">
        <x:v>空白编辑器重写，禁止看旧代码，卡住五分钟后只看最小提示</x:v>
      </x:c>
      <x:c r="R246" s="145" t="str">
        <x:v>未开始</x:v>
      </x:c>
      <x:c r="S246" s="145"/>
      <x:c r="T246" s="177"/>
      <x:c r="U246" s="145"/>
      <x:c r="V246" s="151"/>
      <x:c r="W246" s="112" t="str">
        <x:v>https://leetcode.com/problems/permutations-ii/</x:v>
      </x:c>
    </x:row>
    <x:row r="247" ht="34" customHeight="1">
      <x:c r="A247" s="99" t="n">
        <x:v>49</x:v>
      </x:c>
      <x:c r="B247" s="145" t="str">
        <x:v>阶段五 交错限时模拟</x:v>
      </x:c>
      <x:c r="C247" s="145" t="n">
        <x:v>3</x:v>
      </x:c>
      <x:c r="D247" s="145" t="str">
        <x:v>短间隔复做</x:v>
      </x:c>
      <x:c r="E247" s="145" t="str">
        <x:v>模拟题二</x:v>
      </x:c>
      <x:c r="F247" s="145" t="n">
        <x:v>8</x:v>
      </x:c>
      <x:c r="G247" s="145" t="n">
        <x:v>8</x:v>
      </x:c>
      <x:c r="H247" s="145" t="n">
        <x:v>452</x:v>
      </x:c>
      <x:c r="I247" s="151" t="str">
        <x:v>用最少数量的箭引爆气球</x:v>
      </x:c>
      <x:c r="J247" s="151" t="str">
        <x:v>Minimum Number of Arrows to Burst Balloons</x:v>
      </x:c>
      <x:c r="K247" s="145" t="str">
        <x:v>中等</x:v>
      </x:c>
      <x:c r="L247" s="145" t="str">
        <x:v>贪心与区间</x:v>
      </x:c>
      <x:c r="M247" s="145" t="str">
        <x:v>区间与贪心</x:v>
      </x:c>
      <x:c r="N247" s="165" t="str">
        <x:v>区间交集</x:v>
      </x:c>
      <x:c r="O247" s="165" t="str">
        <x:v>代码随想录补充</x:v>
      </x:c>
      <x:c r="P247" s="171" t="n">
        <x:v>20</x:v>
      </x:c>
      <x:c r="Q247" s="151" t="str">
        <x:v>空白编辑器重写，禁止看旧代码，卡住五分钟后只看最小提示</x:v>
      </x:c>
      <x:c r="R247" s="145" t="str">
        <x:v>未开始</x:v>
      </x:c>
      <x:c r="S247" s="145"/>
      <x:c r="T247" s="177"/>
      <x:c r="U247" s="145"/>
      <x:c r="V247" s="151"/>
      <x:c r="W247" s="112" t="str">
        <x:v>https://leetcode.com/problems/minimum-number-of-arrows-to-burst-balloons/</x:v>
      </x:c>
    </x:row>
    <x:row r="248" ht="34" customHeight="1">
      <x:c r="A248" s="99" t="n">
        <x:v>49</x:v>
      </x:c>
      <x:c r="B248" s="145" t="str">
        <x:v>阶段五 交错限时模拟</x:v>
      </x:c>
      <x:c r="C248" s="145" t="n">
        <x:v>4</x:v>
      </x:c>
      <x:c r="D248" s="145" t="str">
        <x:v>长间隔复做</x:v>
      </x:c>
      <x:c r="E248" s="145" t="str">
        <x:v>进阶题</x:v>
      </x:c>
      <x:c r="F248" s="145" t="n">
        <x:v>27</x:v>
      </x:c>
      <x:c r="G248" s="145" t="n">
        <x:v>24</x:v>
      </x:c>
      <x:c r="H248" s="145" t="n">
        <x:v>54</x:v>
      </x:c>
      <x:c r="I248" s="151" t="str">
        <x:v>螺旋矩阵</x:v>
      </x:c>
      <x:c r="J248" s="151" t="str">
        <x:v>Spiral Matrix</x:v>
      </x:c>
      <x:c r="K248" s="145" t="str">
        <x:v>中等</x:v>
      </x:c>
      <x:c r="L248" s="145" t="str">
        <x:v>矩阵</x:v>
      </x:c>
      <x:c r="M248" s="145" t="str">
        <x:v>矩阵与模拟</x:v>
      </x:c>
      <x:c r="N248" s="165" t="str">
        <x:v>边界收缩模拟</x:v>
      </x:c>
      <x:c r="O248" s="165" t="str">
        <x:v>Grind 75核心</x:v>
      </x:c>
      <x:c r="P248" s="171" t="n">
        <x:v>12</x:v>
      </x:c>
      <x:c r="Q248" s="151" t="str">
        <x:v>严格限时独立完成，先说模式与不变量，再回答复杂度和替代方案</x:v>
      </x:c>
      <x:c r="R248" s="145" t="str">
        <x:v>未开始</x:v>
      </x:c>
      <x:c r="S248" s="145"/>
      <x:c r="T248" s="177"/>
      <x:c r="U248" s="145"/>
      <x:c r="V248" s="151"/>
      <x:c r="W248" s="112" t="str">
        <x:v>https://leetcode.com/problems/spiral-matrix/</x:v>
      </x:c>
    </x:row>
    <x:row r="249" ht="34" customHeight="1">
      <x:c r="A249" s="99" t="n">
        <x:v>49</x:v>
      </x:c>
      <x:c r="B249" s="145" t="str">
        <x:v>阶段五 交错限时模拟</x:v>
      </x:c>
      <x:c r="C249" s="145" t="n">
        <x:v>5</x:v>
      </x:c>
      <x:c r="D249" s="145" t="str">
        <x:v>短间隔复做</x:v>
      </x:c>
      <x:c r="E249" s="145" t="str">
        <x:v>错题回收</x:v>
      </x:c>
      <x:c r="F249" s="145" t="n">
        <x:v>8</x:v>
      </x:c>
      <x:c r="G249" s="145" t="n">
        <x:v>8</x:v>
      </x:c>
      <x:c r="H249" s="145" t="n">
        <x:v>198</x:v>
      </x:c>
      <x:c r="I249" s="151" t="str">
        <x:v>打家劫舍</x:v>
      </x:c>
      <x:c r="J249" s="151" t="str">
        <x:v>House Robber</x:v>
      </x:c>
      <x:c r="K249" s="145" t="str">
        <x:v>中等</x:v>
      </x:c>
      <x:c r="L249" s="145" t="str">
        <x:v>动态规划</x:v>
      </x:c>
      <x:c r="M249" s="145" t="str">
        <x:v>动态规划</x:v>
      </x:c>
      <x:c r="N249" s="165" t="str">
        <x:v>相邻约束一维状态</x:v>
      </x:c>
      <x:c r="O249" s="165" t="str">
        <x:v>代码随想录补充</x:v>
      </x:c>
      <x:c r="P249" s="171" t="n">
        <x:v>16</x:v>
      </x:c>
      <x:c r="Q249" s="151" t="str">
        <x:v>空白编辑器重写，禁止看旧代码，卡住五分钟后只看最小提示</x:v>
      </x:c>
      <x:c r="R249" s="145" t="str">
        <x:v>未开始</x:v>
      </x:c>
      <x:c r="S249" s="145"/>
      <x:c r="T249" s="177"/>
      <x:c r="U249" s="145"/>
      <x:c r="V249" s="151"/>
      <x:c r="W249" s="112" t="str">
        <x:v>https://leetcode.com/problems/house-robber/</x:v>
      </x:c>
    </x:row>
    <x:row r="250" ht="34" customHeight="1">
      <x:c r="A250" s="99" t="n">
        <x:v>50</x:v>
      </x:c>
      <x:c r="B250" s="145" t="str">
        <x:v>阶段五 交错限时模拟</x:v>
      </x:c>
      <x:c r="C250" s="145" t="n">
        <x:v>1</x:v>
      </x:c>
      <x:c r="D250" s="145" t="str">
        <x:v>短间隔复做</x:v>
      </x:c>
      <x:c r="E250" s="145" t="str">
        <x:v>热身题</x:v>
      </x:c>
      <x:c r="F250" s="145" t="n">
        <x:v>8</x:v>
      </x:c>
      <x:c r="G250" s="145" t="n">
        <x:v>8</x:v>
      </x:c>
      <x:c r="H250" s="145" t="n">
        <x:v>300</x:v>
      </x:c>
      <x:c r="I250" s="151" t="str">
        <x:v>最长递增子序列</x:v>
      </x:c>
      <x:c r="J250" s="151" t="str">
        <x:v>Longest Increasing Subsequence</x:v>
      </x:c>
      <x:c r="K250" s="145" t="str">
        <x:v>中等</x:v>
      </x:c>
      <x:c r="L250" s="145" t="str">
        <x:v>动态规划</x:v>
      </x:c>
      <x:c r="M250" s="145" t="str">
        <x:v>动态规划</x:v>
      </x:c>
      <x:c r="N250" s="165" t="str">
        <x:v>序列状态或耐心排序</x:v>
      </x:c>
      <x:c r="O250" s="165" t="str">
        <x:v>代码随想录补充</x:v>
      </x:c>
      <x:c r="P250" s="171" t="n">
        <x:v>20</x:v>
      </x:c>
      <x:c r="Q250" s="151" t="str">
        <x:v>空白编辑器重写，禁止看旧代码，卡住五分钟后只看最小提示</x:v>
      </x:c>
      <x:c r="R250" s="145" t="str">
        <x:v>未开始</x:v>
      </x:c>
      <x:c r="S250" s="145"/>
      <x:c r="T250" s="177"/>
      <x:c r="U250" s="145"/>
      <x:c r="V250" s="151"/>
      <x:c r="W250" s="112" t="str">
        <x:v>https://leetcode.com/problems/longest-increasing-subsequence/</x:v>
      </x:c>
    </x:row>
    <x:row r="251" ht="34" customHeight="1">
      <x:c r="A251" s="99" t="n">
        <x:v>50</x:v>
      </x:c>
      <x:c r="B251" s="145" t="str">
        <x:v>阶段五 交错限时模拟</x:v>
      </x:c>
      <x:c r="C251" s="145" t="n">
        <x:v>2</x:v>
      </x:c>
      <x:c r="D251" s="145" t="str">
        <x:v>短间隔复做</x:v>
      </x:c>
      <x:c r="E251" s="145" t="str">
        <x:v>模拟题一</x:v>
      </x:c>
      <x:c r="F251" s="145" t="n">
        <x:v>7</x:v>
      </x:c>
      <x:c r="G251" s="145" t="n">
        <x:v>7</x:v>
      </x:c>
      <x:c r="H251" s="145" t="n">
        <x:v>739</x:v>
      </x:c>
      <x:c r="I251" s="151" t="str">
        <x:v>每日温度</x:v>
      </x:c>
      <x:c r="J251" s="151" t="str">
        <x:v>Daily Temperatures</x:v>
      </x:c>
      <x:c r="K251" s="145" t="str">
        <x:v>中等</x:v>
      </x:c>
      <x:c r="L251" s="145" t="str">
        <x:v>单调栈</x:v>
      </x:c>
      <x:c r="M251" s="145" t="str">
        <x:v>单调栈</x:v>
      </x:c>
      <x:c r="N251" s="165" t="str">
        <x:v>下一个更大元素</x:v>
      </x:c>
      <x:c r="O251" s="165" t="str">
        <x:v>代码随想录补充</x:v>
      </x:c>
      <x:c r="P251" s="171" t="n">
        <x:v>16</x:v>
      </x:c>
      <x:c r="Q251" s="151" t="str">
        <x:v>空白编辑器重写，禁止看旧代码，卡住五分钟后只看最小提示</x:v>
      </x:c>
      <x:c r="R251" s="145" t="str">
        <x:v>未开始</x:v>
      </x:c>
      <x:c r="S251" s="145"/>
      <x:c r="T251" s="177"/>
      <x:c r="U251" s="145"/>
      <x:c r="V251" s="151"/>
      <x:c r="W251" s="112" t="str">
        <x:v>https://leetcode.com/problems/daily-temperatures/</x:v>
      </x:c>
    </x:row>
    <x:row r="252" ht="34" customHeight="1">
      <x:c r="A252" s="99" t="n">
        <x:v>50</x:v>
      </x:c>
      <x:c r="B252" s="145" t="str">
        <x:v>阶段五 交错限时模拟</x:v>
      </x:c>
      <x:c r="C252" s="145" t="n">
        <x:v>3</x:v>
      </x:c>
      <x:c r="D252" s="145" t="str">
        <x:v>长间隔复做</x:v>
      </x:c>
      <x:c r="E252" s="145" t="str">
        <x:v>模拟题二</x:v>
      </x:c>
      <x:c r="F252" s="145" t="n">
        <x:v>28</x:v>
      </x:c>
      <x:c r="G252" s="145" t="n">
        <x:v>24</x:v>
      </x:c>
      <x:c r="H252" s="145" t="n">
        <x:v>78</x:v>
      </x:c>
      <x:c r="I252" s="151" t="str">
        <x:v>子集</x:v>
      </x:c>
      <x:c r="J252" s="151" t="str">
        <x:v>Subsets</x:v>
      </x:c>
      <x:c r="K252" s="145" t="str">
        <x:v>中等</x:v>
      </x:c>
      <x:c r="L252" s="145" t="str">
        <x:v>回溯</x:v>
      </x:c>
      <x:c r="M252" s="145" t="str">
        <x:v>回溯</x:v>
      </x:c>
      <x:c r="N252" s="165" t="str">
        <x:v>子集型搜索</x:v>
      </x:c>
      <x:c r="O252" s="165" t="str">
        <x:v>Grind 75核心</x:v>
      </x:c>
      <x:c r="P252" s="171" t="n">
        <x:v>15</x:v>
      </x:c>
      <x:c r="Q252" s="151" t="str">
        <x:v>严格限时独立完成，先说模式与不变量，再回答复杂度和替代方案</x:v>
      </x:c>
      <x:c r="R252" s="145" t="str">
        <x:v>未开始</x:v>
      </x:c>
      <x:c r="S252" s="145"/>
      <x:c r="T252" s="177"/>
      <x:c r="U252" s="145"/>
      <x:c r="V252" s="151"/>
      <x:c r="W252" s="112" t="str">
        <x:v>https://leetcode.com/problems/subsets/</x:v>
      </x:c>
    </x:row>
    <x:row r="253" ht="34" customHeight="1">
      <x:c r="A253" s="99" t="n">
        <x:v>50</x:v>
      </x:c>
      <x:c r="B253" s="145" t="str">
        <x:v>阶段五 交错限时模拟</x:v>
      </x:c>
      <x:c r="C253" s="145" t="n">
        <x:v>4</x:v>
      </x:c>
      <x:c r="D253" s="145" t="str">
        <x:v>长间隔复做</x:v>
      </x:c>
      <x:c r="E253" s="145" t="str">
        <x:v>进阶题</x:v>
      </x:c>
      <x:c r="F253" s="145" t="n">
        <x:v>27</x:v>
      </x:c>
      <x:c r="G253" s="145" t="n">
        <x:v>23</x:v>
      </x:c>
      <x:c r="H253" s="145" t="n">
        <x:v>5</x:v>
      </x:c>
      <x:c r="I253" s="151" t="str">
        <x:v>最长回文子串</x:v>
      </x:c>
      <x:c r="J253" s="151" t="str">
        <x:v>Longest Palindromic Substring</x:v>
      </x:c>
      <x:c r="K253" s="145" t="str">
        <x:v>中等</x:v>
      </x:c>
      <x:c r="L253" s="145" t="str">
        <x:v>动态规划</x:v>
      </x:c>
      <x:c r="M253" s="145" t="str">
        <x:v>字符串与动态规划</x:v>
      </x:c>
      <x:c r="N253" s="165" t="str">
        <x:v>中心扩展</x:v>
      </x:c>
      <x:c r="O253" s="165" t="str">
        <x:v>Grind 75核心</x:v>
      </x:c>
      <x:c r="P253" s="171" t="n">
        <x:v>12</x:v>
      </x:c>
      <x:c r="Q253" s="151" t="str">
        <x:v>严格限时独立完成，先说模式与不变量，再回答复杂度和替代方案</x:v>
      </x:c>
      <x:c r="R253" s="145" t="str">
        <x:v>未开始</x:v>
      </x:c>
      <x:c r="S253" s="145"/>
      <x:c r="T253" s="177"/>
      <x:c r="U253" s="145"/>
      <x:c r="V253" s="151"/>
      <x:c r="W253" s="112" t="str">
        <x:v>https://leetcode.com/problems/longest-palindromic-substring/</x:v>
      </x:c>
    </x:row>
    <x:row r="254" ht="34" customHeight="1">
      <x:c r="A254" s="99" t="n">
        <x:v>50</x:v>
      </x:c>
      <x:c r="B254" s="145" t="str">
        <x:v>阶段五 交错限时模拟</x:v>
      </x:c>
      <x:c r="C254" s="145" t="n">
        <x:v>5</x:v>
      </x:c>
      <x:c r="D254" s="145" t="str">
        <x:v>长间隔复做</x:v>
      </x:c>
      <x:c r="E254" s="145" t="str">
        <x:v>错题回收</x:v>
      </x:c>
      <x:c r="F254" s="145" t="n">
        <x:v>27</x:v>
      </x:c>
      <x:c r="G254" s="145" t="n">
        <x:v>23</x:v>
      </x:c>
      <x:c r="H254" s="145" t="n">
        <x:v>199</x:v>
      </x:c>
      <x:c r="I254" s="151" t="str">
        <x:v>二叉树的右视图</x:v>
      </x:c>
      <x:c r="J254" s="151" t="str">
        <x:v>Binary Tree Right Side View</x:v>
      </x:c>
      <x:c r="K254" s="145" t="str">
        <x:v>中等</x:v>
      </x:c>
      <x:c r="L254" s="145" t="str">
        <x:v>树与递归</x:v>
      </x:c>
      <x:c r="M254" s="145" t="str">
        <x:v>二叉树</x:v>
      </x:c>
      <x:c r="N254" s="165" t="str">
        <x:v>层序遍历或右优先深搜</x:v>
      </x:c>
      <x:c r="O254" s="165" t="str">
        <x:v>Grind 75核心</x:v>
      </x:c>
      <x:c r="P254" s="171" t="n">
        <x:v>10</x:v>
      </x:c>
      <x:c r="Q254" s="151" t="str">
        <x:v>严格限时独立完成，先说模式与不变量，再回答复杂度和替代方案</x:v>
      </x:c>
      <x:c r="R254" s="145" t="str">
        <x:v>未开始</x:v>
      </x:c>
      <x:c r="S254" s="145"/>
      <x:c r="T254" s="177"/>
      <x:c r="U254" s="145"/>
      <x:c r="V254" s="151"/>
      <x:c r="W254" s="112" t="str">
        <x:v>https://leetcode.com/problems/binary-tree-right-side-view/</x:v>
      </x:c>
    </x:row>
    <x:row r="255" ht="34" customHeight="1">
      <x:c r="A255" s="99" t="n">
        <x:v>51</x:v>
      </x:c>
      <x:c r="B255" s="145" t="str">
        <x:v>阶段五 交错限时模拟</x:v>
      </x:c>
      <x:c r="C255" s="145" t="n">
        <x:v>1</x:v>
      </x:c>
      <x:c r="D255" s="145" t="str">
        <x:v>短间隔复做</x:v>
      </x:c>
      <x:c r="E255" s="145" t="str">
        <x:v>热身题</x:v>
      </x:c>
      <x:c r="F255" s="145" t="n">
        <x:v>9</x:v>
      </x:c>
      <x:c r="G255" s="145" t="n">
        <x:v>9</x:v>
      </x:c>
      <x:c r="H255" s="145" t="n">
        <x:v>1143</x:v>
      </x:c>
      <x:c r="I255" s="151" t="str">
        <x:v>最长公共子序列</x:v>
      </x:c>
      <x:c r="J255" s="151" t="str">
        <x:v>Longest Common Subsequence</x:v>
      </x:c>
      <x:c r="K255" s="145" t="str">
        <x:v>中等</x:v>
      </x:c>
      <x:c r="L255" s="145" t="str">
        <x:v>动态规划</x:v>
      </x:c>
      <x:c r="M255" s="145" t="str">
        <x:v>动态规划</x:v>
      </x:c>
      <x:c r="N255" s="165" t="str">
        <x:v>双序列状态转移</x:v>
      </x:c>
      <x:c r="O255" s="165" t="str">
        <x:v>代码随想录补充</x:v>
      </x:c>
      <x:c r="P255" s="171" t="n">
        <x:v>20</x:v>
      </x:c>
      <x:c r="Q255" s="151" t="str">
        <x:v>空白编辑器重写，禁止看旧代码，卡住五分钟后只看最小提示</x:v>
      </x:c>
      <x:c r="R255" s="145" t="str">
        <x:v>未开始</x:v>
      </x:c>
      <x:c r="S255" s="145"/>
      <x:c r="T255" s="177"/>
      <x:c r="U255" s="145"/>
      <x:c r="V255" s="151"/>
      <x:c r="W255" s="112" t="str">
        <x:v>https://leetcode.com/problems/longest-common-subsequence/</x:v>
      </x:c>
    </x:row>
    <x:row r="256" ht="34" customHeight="1">
      <x:c r="A256" s="99" t="n">
        <x:v>51</x:v>
      </x:c>
      <x:c r="B256" s="145" t="str">
        <x:v>阶段五 交错限时模拟</x:v>
      </x:c>
      <x:c r="C256" s="145" t="n">
        <x:v>2</x:v>
      </x:c>
      <x:c r="D256" s="145" t="str">
        <x:v>长间隔复做</x:v>
      </x:c>
      <x:c r="E256" s="145" t="str">
        <x:v>模拟题一</x:v>
      </x:c>
      <x:c r="F256" s="145" t="n">
        <x:v>27</x:v>
      </x:c>
      <x:c r="G256" s="145" t="n">
        <x:v>22</x:v>
      </x:c>
      <x:c r="H256" s="145" t="n">
        <x:v>62</x:v>
      </x:c>
      <x:c r="I256" s="151" t="str">
        <x:v>不同路径</x:v>
      </x:c>
      <x:c r="J256" s="151" t="str">
        <x:v>Unique Paths</x:v>
      </x:c>
      <x:c r="K256" s="145" t="str">
        <x:v>中等</x:v>
      </x:c>
      <x:c r="L256" s="145" t="str">
        <x:v>动态规划</x:v>
      </x:c>
      <x:c r="M256" s="145" t="str">
        <x:v>动态规划</x:v>
      </x:c>
      <x:c r="N256" s="165" t="str">
        <x:v>网格状态转移</x:v>
      </x:c>
      <x:c r="O256" s="165" t="str">
        <x:v>Grind 75核心</x:v>
      </x:c>
      <x:c r="P256" s="171" t="n">
        <x:v>10</x:v>
      </x:c>
      <x:c r="Q256" s="151" t="str">
        <x:v>严格限时独立完成，先说模式与不变量，再回答复杂度和替代方案</x:v>
      </x:c>
      <x:c r="R256" s="145" t="str">
        <x:v>未开始</x:v>
      </x:c>
      <x:c r="S256" s="145"/>
      <x:c r="T256" s="177"/>
      <x:c r="U256" s="145"/>
      <x:c r="V256" s="151"/>
      <x:c r="W256" s="112" t="str">
        <x:v>https://leetcode.com/problems/unique-paths/</x:v>
      </x:c>
    </x:row>
    <x:row r="257" ht="34" customHeight="1">
      <x:c r="A257" s="99" t="n">
        <x:v>51</x:v>
      </x:c>
      <x:c r="B257" s="145" t="str">
        <x:v>阶段五 交错限时模拟</x:v>
      </x:c>
      <x:c r="C257" s="145" t="n">
        <x:v>3</x:v>
      </x:c>
      <x:c r="D257" s="145" t="str">
        <x:v>长间隔复做</x:v>
      </x:c>
      <x:c r="E257" s="145" t="str">
        <x:v>模拟题二</x:v>
      </x:c>
      <x:c r="F257" s="145" t="n">
        <x:v>27</x:v>
      </x:c>
      <x:c r="G257" s="145" t="n">
        <x:v>23</x:v>
      </x:c>
      <x:c r="H257" s="145" t="n">
        <x:v>105</x:v>
      </x:c>
      <x:c r="I257" s="151" t="str">
        <x:v>从前序与中序遍历序列构造二叉树</x:v>
      </x:c>
      <x:c r="J257" s="151" t="str">
        <x:v>Construct Binary Tree from Preorder and Inorder Traversal</x:v>
      </x:c>
      <x:c r="K257" s="145" t="str">
        <x:v>中等</x:v>
      </x:c>
      <x:c r="L257" s="145" t="str">
        <x:v>树与递归</x:v>
      </x:c>
      <x:c r="M257" s="145" t="str">
        <x:v>二叉树</x:v>
      </x:c>
      <x:c r="N257" s="165" t="str">
        <x:v>分治与索引映射</x:v>
      </x:c>
      <x:c r="O257" s="165" t="str">
        <x:v>Grind 75核心</x:v>
      </x:c>
      <x:c r="P257" s="171" t="n">
        <x:v>12</x:v>
      </x:c>
      <x:c r="Q257" s="151" t="str">
        <x:v>严格限时独立完成，先说模式与不变量，再回答复杂度和替代方案</x:v>
      </x:c>
      <x:c r="R257" s="145" t="str">
        <x:v>未开始</x:v>
      </x:c>
      <x:c r="S257" s="145"/>
      <x:c r="T257" s="177"/>
      <x:c r="U257" s="145"/>
      <x:c r="V257" s="151"/>
      <x:c r="W257" s="112" t="str">
        <x:v>https://leetcode.com/problems/construct-binary-tree-from-preorder-and-inorder-traversal/</x:v>
      </x:c>
    </x:row>
    <x:row r="258" ht="34" customHeight="1">
      <x:c r="A258" s="99" t="n">
        <x:v>51</x:v>
      </x:c>
      <x:c r="B258" s="145" t="str">
        <x:v>阶段五 交错限时模拟</x:v>
      </x:c>
      <x:c r="C258" s="145" t="n">
        <x:v>4</x:v>
      </x:c>
      <x:c r="D258" s="145" t="str">
        <x:v>长间隔复做</x:v>
      </x:c>
      <x:c r="E258" s="145" t="str">
        <x:v>进阶题</x:v>
      </x:c>
      <x:c r="F258" s="145" t="n">
        <x:v>26</x:v>
      </x:c>
      <x:c r="G258" s="145" t="n">
        <x:v>21</x:v>
      </x:c>
      <x:c r="H258" s="145" t="n">
        <x:v>17</x:v>
      </x:c>
      <x:c r="I258" s="151" t="str">
        <x:v>电话号码的字母组合</x:v>
      </x:c>
      <x:c r="J258" s="151" t="str">
        <x:v>Letter Combinations of a Phone Number</x:v>
      </x:c>
      <x:c r="K258" s="145" t="str">
        <x:v>中等</x:v>
      </x:c>
      <x:c r="L258" s="145" t="str">
        <x:v>回溯</x:v>
      </x:c>
      <x:c r="M258" s="145" t="str">
        <x:v>回溯</x:v>
      </x:c>
      <x:c r="N258" s="165" t="str">
        <x:v>多叉树组合搜索</x:v>
      </x:c>
      <x:c r="O258" s="165" t="str">
        <x:v>Grind 75核心</x:v>
      </x:c>
      <x:c r="P258" s="171" t="n">
        <x:v>15</x:v>
      </x:c>
      <x:c r="Q258" s="151" t="str">
        <x:v>严格限时独立完成，先说模式与不变量，再回答复杂度和替代方案</x:v>
      </x:c>
      <x:c r="R258" s="145" t="str">
        <x:v>未开始</x:v>
      </x:c>
      <x:c r="S258" s="145"/>
      <x:c r="T258" s="177"/>
      <x:c r="U258" s="145"/>
      <x:c r="V258" s="151"/>
      <x:c r="W258" s="112" t="str">
        <x:v>https://leetcode.com/problems/letter-combinations-of-a-phone-number/</x:v>
      </x:c>
    </x:row>
    <x:row r="259" ht="34" customHeight="1">
      <x:c r="A259" s="99" t="n">
        <x:v>51</x:v>
      </x:c>
      <x:c r="B259" s="145" t="str">
        <x:v>阶段五 交错限时模拟</x:v>
      </x:c>
      <x:c r="C259" s="145" t="n">
        <x:v>5</x:v>
      </x:c>
      <x:c r="D259" s="145" t="str">
        <x:v>长间隔复做</x:v>
      </x:c>
      <x:c r="E259" s="145" t="str">
        <x:v>错题回收</x:v>
      </x:c>
      <x:c r="F259" s="145" t="n">
        <x:v>26</x:v>
      </x:c>
      <x:c r="G259" s="145" t="n">
        <x:v>21</x:v>
      </x:c>
      <x:c r="H259" s="145" t="n">
        <x:v>11</x:v>
      </x:c>
      <x:c r="I259" s="151" t="str">
        <x:v>盛最多水的容器</x:v>
      </x:c>
      <x:c r="J259" s="151" t="str">
        <x:v>Container With Most Water</x:v>
      </x:c>
      <x:c r="K259" s="145" t="str">
        <x:v>中等</x:v>
      </x:c>
      <x:c r="L259" s="145" t="str">
        <x:v>双指针</x:v>
      </x:c>
      <x:c r="M259" s="145" t="str">
        <x:v>双指针</x:v>
      </x:c>
      <x:c r="N259" s="165" t="str">
        <x:v>对撞指针与单调决策</x:v>
      </x:c>
      <x:c r="O259" s="165" t="str">
        <x:v>Grind 75核心</x:v>
      </x:c>
      <x:c r="P259" s="171" t="n">
        <x:v>18</x:v>
      </x:c>
      <x:c r="Q259" s="151" t="str">
        <x:v>严格限时独立完成，先说模式与不变量，再回答复杂度和替代方案</x:v>
      </x:c>
      <x:c r="R259" s="145" t="str">
        <x:v>未开始</x:v>
      </x:c>
      <x:c r="S259" s="145"/>
      <x:c r="T259" s="177"/>
      <x:c r="U259" s="145"/>
      <x:c r="V259" s="151"/>
      <x:c r="W259" s="112" t="str">
        <x:v>https://leetcode.com/problems/container-with-most-water/</x:v>
      </x:c>
    </x:row>
    <x:row r="260" ht="34" customHeight="1">
      <x:c r="A260" s="99" t="n">
        <x:v>52</x:v>
      </x:c>
      <x:c r="B260" s="145" t="str">
        <x:v>阶段五 交错限时模拟</x:v>
      </x:c>
      <x:c r="C260" s="145" t="n">
        <x:v>1</x:v>
      </x:c>
      <x:c r="D260" s="145" t="str">
        <x:v>短间隔复做</x:v>
      </x:c>
      <x:c r="E260" s="145" t="str">
        <x:v>热身题</x:v>
      </x:c>
      <x:c r="F260" s="145" t="n">
        <x:v>8</x:v>
      </x:c>
      <x:c r="G260" s="145" t="n">
        <x:v>8</x:v>
      </x:c>
      <x:c r="H260" s="145" t="n">
        <x:v>136</x:v>
      </x:c>
      <x:c r="I260" s="151" t="str">
        <x:v>只出现一次的数字</x:v>
      </x:c>
      <x:c r="J260" s="151" t="str">
        <x:v>Single Number</x:v>
      </x:c>
      <x:c r="K260" s="145" t="str">
        <x:v>简单</x:v>
      </x:c>
      <x:c r="L260" s="145" t="str">
        <x:v>位运算</x:v>
      </x:c>
      <x:c r="M260" s="145" t="str">
        <x:v>位运算</x:v>
      </x:c>
      <x:c r="N260" s="165" t="str">
        <x:v>异或消除成对元素</x:v>
      </x:c>
      <x:c r="O260" s="165" t="str">
        <x:v>Grind 169扩展</x:v>
      </x:c>
      <x:c r="P260" s="171" t="n">
        <x:v>12</x:v>
      </x:c>
      <x:c r="Q260" s="151" t="str">
        <x:v>空白编辑器重写，禁止看旧代码，卡住五分钟后只看最小提示</x:v>
      </x:c>
      <x:c r="R260" s="145" t="str">
        <x:v>未开始</x:v>
      </x:c>
      <x:c r="S260" s="145"/>
      <x:c r="T260" s="177"/>
      <x:c r="U260" s="145"/>
      <x:c r="V260" s="151"/>
      <x:c r="W260" s="112" t="str">
        <x:v>https://leetcode.com/problems/single-number/</x:v>
      </x:c>
    </x:row>
    <x:row r="261" ht="34" customHeight="1">
      <x:c r="A261" s="99" t="n">
        <x:v>52</x:v>
      </x:c>
      <x:c r="B261" s="145" t="str">
        <x:v>阶段五 交错限时模拟</x:v>
      </x:c>
      <x:c r="C261" s="145" t="n">
        <x:v>2</x:v>
      </x:c>
      <x:c r="D261" s="145" t="str">
        <x:v>短间隔复做</x:v>
      </x:c>
      <x:c r="E261" s="145" t="str">
        <x:v>模拟题一</x:v>
      </x:c>
      <x:c r="F261" s="145" t="n">
        <x:v>8</x:v>
      </x:c>
      <x:c r="G261" s="145" t="n">
        <x:v>8</x:v>
      </x:c>
      <x:c r="H261" s="145" t="n">
        <x:v>338</x:v>
      </x:c>
      <x:c r="I261" s="151" t="str">
        <x:v>比特位计数</x:v>
      </x:c>
      <x:c r="J261" s="151" t="str">
        <x:v>Counting Bits</x:v>
      </x:c>
      <x:c r="K261" s="145" t="str">
        <x:v>简单</x:v>
      </x:c>
      <x:c r="L261" s="145" t="str">
        <x:v>动态规划</x:v>
      </x:c>
      <x:c r="M261" s="145" t="str">
        <x:v>位运算与动态规划</x:v>
      </x:c>
      <x:c r="N261" s="165" t="str">
        <x:v>最低位递推</x:v>
      </x:c>
      <x:c r="O261" s="165" t="str">
        <x:v>Grind 169扩展</x:v>
      </x:c>
      <x:c r="P261" s="171" t="n">
        <x:v>13</x:v>
      </x:c>
      <x:c r="Q261" s="151" t="str">
        <x:v>空白编辑器重写，禁止看旧代码，卡住五分钟后只看最小提示</x:v>
      </x:c>
      <x:c r="R261" s="145" t="str">
        <x:v>未开始</x:v>
      </x:c>
      <x:c r="S261" s="145"/>
      <x:c r="T261" s="177"/>
      <x:c r="U261" s="145"/>
      <x:c r="V261" s="151"/>
      <x:c r="W261" s="112" t="str">
        <x:v>https://leetcode.com/problems/counting-bits/</x:v>
      </x:c>
    </x:row>
    <x:row r="262" ht="34" customHeight="1">
      <x:c r="A262" s="99" t="n">
        <x:v>52</x:v>
      </x:c>
      <x:c r="B262" s="145" t="str">
        <x:v>阶段五 交错限时模拟</x:v>
      </x:c>
      <x:c r="C262" s="145" t="n">
        <x:v>3</x:v>
      </x:c>
      <x:c r="D262" s="145" t="str">
        <x:v>短间隔复做</x:v>
      </x:c>
      <x:c r="E262" s="145" t="str">
        <x:v>模拟题二</x:v>
      </x:c>
      <x:c r="F262" s="145" t="n">
        <x:v>9</x:v>
      </x:c>
      <x:c r="G262" s="145" t="n">
        <x:v>9</x:v>
      </x:c>
      <x:c r="H262" s="145" t="n">
        <x:v>72</x:v>
      </x:c>
      <x:c r="I262" s="151" t="str">
        <x:v>编辑距离</x:v>
      </x:c>
      <x:c r="J262" s="151" t="str">
        <x:v>Edit Distance</x:v>
      </x:c>
      <x:c r="K262" s="145" t="str">
        <x:v>中等</x:v>
      </x:c>
      <x:c r="L262" s="145" t="str">
        <x:v>动态规划</x:v>
      </x:c>
      <x:c r="M262" s="145" t="str">
        <x:v>动态规划</x:v>
      </x:c>
      <x:c r="N262" s="165" t="str">
        <x:v>增删改二维状态</x:v>
      </x:c>
      <x:c r="O262" s="165" t="str">
        <x:v>代码随想录补充</x:v>
      </x:c>
      <x:c r="P262" s="171" t="n">
        <x:v>23</x:v>
      </x:c>
      <x:c r="Q262" s="151" t="str">
        <x:v>空白编辑器重写，禁止看旧代码，卡住五分钟后只看最小提示</x:v>
      </x:c>
      <x:c r="R262" s="145" t="str">
        <x:v>未开始</x:v>
      </x:c>
      <x:c r="S262" s="145"/>
      <x:c r="T262" s="177"/>
      <x:c r="U262" s="145"/>
      <x:c r="V262" s="151"/>
      <x:c r="W262" s="112" t="str">
        <x:v>https://leetcode.com/problems/edit-distance/</x:v>
      </x:c>
    </x:row>
    <x:row r="263" ht="34" customHeight="1">
      <x:c r="A263" s="99" t="n">
        <x:v>52</x:v>
      </x:c>
      <x:c r="B263" s="145" t="str">
        <x:v>阶段五 交错限时模拟</x:v>
      </x:c>
      <x:c r="C263" s="145" t="n">
        <x:v>4</x:v>
      </x:c>
      <x:c r="D263" s="145" t="str">
        <x:v>长间隔复做</x:v>
      </x:c>
      <x:c r="E263" s="145" t="str">
        <x:v>进阶题</x:v>
      </x:c>
      <x:c r="F263" s="145" t="n">
        <x:v>26</x:v>
      </x:c>
      <x:c r="G263" s="145" t="n">
        <x:v>20</x:v>
      </x:c>
      <x:c r="H263" s="145" t="n">
        <x:v>438</x:v>
      </x:c>
      <x:c r="I263" s="151" t="str">
        <x:v>找到字符串中所有字母异位词</x:v>
      </x:c>
      <x:c r="J263" s="151" t="str">
        <x:v>Find All Anagrams in a String</x:v>
      </x:c>
      <x:c r="K263" s="145" t="str">
        <x:v>中等</x:v>
      </x:c>
      <x:c r="L263" s="145" t="str">
        <x:v>滑动窗口与单调队列</x:v>
      </x:c>
      <x:c r="M263" s="145" t="str">
        <x:v>滑动窗口</x:v>
      </x:c>
      <x:c r="N263" s="165" t="str">
        <x:v>定长窗口与频次</x:v>
      </x:c>
      <x:c r="O263" s="165" t="str">
        <x:v>Grind 75核心</x:v>
      </x:c>
      <x:c r="P263" s="171" t="n">
        <x:v>15</x:v>
      </x:c>
      <x:c r="Q263" s="151" t="str">
        <x:v>严格限时独立完成，先说模式与不变量，再回答复杂度和替代方案</x:v>
      </x:c>
      <x:c r="R263" s="145" t="str">
        <x:v>未开始</x:v>
      </x:c>
      <x:c r="S263" s="145"/>
      <x:c r="T263" s="177"/>
      <x:c r="U263" s="145"/>
      <x:c r="V263" s="151"/>
      <x:c r="W263" s="112" t="str">
        <x:v>https://leetcode.com/problems/find-all-anagrams-in-a-string/</x:v>
      </x:c>
    </x:row>
    <x:row r="264" ht="34" customHeight="1">
      <x:c r="A264" s="99" t="n">
        <x:v>52</x:v>
      </x:c>
      <x:c r="B264" s="145" t="str">
        <x:v>阶段五 交错限时模拟</x:v>
      </x:c>
      <x:c r="C264" s="145" t="n">
        <x:v>5</x:v>
      </x:c>
      <x:c r="D264" s="145" t="str">
        <x:v>长间隔复做</x:v>
      </x:c>
      <x:c r="E264" s="145" t="str">
        <x:v>错题回收</x:v>
      </x:c>
      <x:c r="F264" s="145" t="n">
        <x:v>26</x:v>
      </x:c>
      <x:c r="G264" s="145" t="n">
        <x:v>21</x:v>
      </x:c>
      <x:c r="H264" s="145" t="n">
        <x:v>79</x:v>
      </x:c>
      <x:c r="I264" s="151" t="str">
        <x:v>单词搜索</x:v>
      </x:c>
      <x:c r="J264" s="151" t="str">
        <x:v>Word Search</x:v>
      </x:c>
      <x:c r="K264" s="145" t="str">
        <x:v>中等</x:v>
      </x:c>
      <x:c r="L264" s="145" t="str">
        <x:v>图与并查集</x:v>
      </x:c>
      <x:c r="M264" s="145" t="str">
        <x:v>回溯与图论</x:v>
      </x:c>
      <x:c r="N264" s="165" t="str">
        <x:v>网格回溯</x:v>
      </x:c>
      <x:c r="O264" s="165" t="str">
        <x:v>Grind 75核心</x:v>
      </x:c>
      <x:c r="P264" s="171" t="n">
        <x:v>15</x:v>
      </x:c>
      <x:c r="Q264" s="151" t="str">
        <x:v>严格限时独立完成，先说模式与不变量，再回答复杂度和替代方案</x:v>
      </x:c>
      <x:c r="R264" s="145" t="str">
        <x:v>未开始</x:v>
      </x:c>
      <x:c r="S264" s="145"/>
      <x:c r="T264" s="177"/>
      <x:c r="U264" s="145"/>
      <x:c r="V264" s="151"/>
      <x:c r="W264" s="112" t="str">
        <x:v>https://leetcode.com/problems/word-search/</x:v>
      </x:c>
    </x:row>
    <x:row r="265" ht="34" customHeight="1">
      <x:c r="A265" s="99" t="n">
        <x:v>53</x:v>
      </x:c>
      <x:c r="B265" s="145" t="str">
        <x:v>阶段六 面试冲刺与错题回收</x:v>
      </x:c>
      <x:c r="C265" s="145" t="n">
        <x:v>1</x:v>
      </x:c>
      <x:c r="D265" s="145" t="str">
        <x:v>短间隔复做</x:v>
      </x:c>
      <x:c r="E265" s="145" t="str">
        <x:v>热身题</x:v>
      </x:c>
      <x:c r="F265" s="145" t="n">
        <x:v>8</x:v>
      </x:c>
      <x:c r="G265" s="145" t="n">
        <x:v>8</x:v>
      </x:c>
      <x:c r="H265" s="145" t="n">
        <x:v>684</x:v>
      </x:c>
      <x:c r="I265" s="151" t="str">
        <x:v>冗余连接</x:v>
      </x:c>
      <x:c r="J265" s="151" t="str">
        <x:v>Redundant Connection</x:v>
      </x:c>
      <x:c r="K265" s="145" t="str">
        <x:v>中等</x:v>
      </x:c>
      <x:c r="L265" s="145" t="str">
        <x:v>图与并查集</x:v>
      </x:c>
      <x:c r="M265" s="145" t="str">
        <x:v>图论</x:v>
      </x:c>
      <x:c r="N265" s="165" t="str">
        <x:v>并查集检测成环</x:v>
      </x:c>
      <x:c r="O265" s="165" t="str">
        <x:v>代码随想录图论扩展</x:v>
      </x:c>
      <x:c r="P265" s="171" t="n">
        <x:v>20</x:v>
      </x:c>
      <x:c r="Q265" s="151" t="str">
        <x:v>空白编辑器重写，禁止看旧代码，卡住五分钟后只看最小提示</x:v>
      </x:c>
      <x:c r="R265" s="145" t="str">
        <x:v>未开始</x:v>
      </x:c>
      <x:c r="S265" s="145"/>
      <x:c r="T265" s="177"/>
      <x:c r="U265" s="145"/>
      <x:c r="V265" s="151"/>
      <x:c r="W265" s="112" t="str">
        <x:v>https://leetcode.com/problems/redundant-connection/</x:v>
      </x:c>
    </x:row>
    <x:row r="266" ht="34" customHeight="1">
      <x:c r="A266" s="99" t="n">
        <x:v>53</x:v>
      </x:c>
      <x:c r="B266" s="145" t="str">
        <x:v>阶段六 面试冲刺与错题回收</x:v>
      </x:c>
      <x:c r="C266" s="145" t="n">
        <x:v>2</x:v>
      </x:c>
      <x:c r="D266" s="145" t="str">
        <x:v>短间隔复做</x:v>
      </x:c>
      <x:c r="E266" s="145" t="str">
        <x:v>模拟题一</x:v>
      </x:c>
      <x:c r="F266" s="145" t="n">
        <x:v>8</x:v>
      </x:c>
      <x:c r="G266" s="145" t="n">
        <x:v>8</x:v>
      </x:c>
      <x:c r="H266" s="145" t="n">
        <x:v>210</x:v>
      </x:c>
      <x:c r="I266" s="151" t="str">
        <x:v>课程表II</x:v>
      </x:c>
      <x:c r="J266" s="151" t="str">
        <x:v>Course Schedule II</x:v>
      </x:c>
      <x:c r="K266" s="145" t="str">
        <x:v>中等</x:v>
      </x:c>
      <x:c r="L266" s="145" t="str">
        <x:v>图与并查集</x:v>
      </x:c>
      <x:c r="M266" s="145" t="str">
        <x:v>图论</x:v>
      </x:c>
      <x:c r="N266" s="165" t="str">
        <x:v>拓扑排序输出路径</x:v>
      </x:c>
      <x:c r="O266" s="165" t="str">
        <x:v>Grind 169扩展</x:v>
      </x:c>
      <x:c r="P266" s="171" t="n">
        <x:v>23</x:v>
      </x:c>
      <x:c r="Q266" s="151" t="str">
        <x:v>空白编辑器重写，禁止看旧代码，卡住五分钟后只看最小提示</x:v>
      </x:c>
      <x:c r="R266" s="145" t="str">
        <x:v>未开始</x:v>
      </x:c>
      <x:c r="S266" s="145"/>
      <x:c r="T266" s="177"/>
      <x:c r="U266" s="145"/>
      <x:c r="V266" s="151"/>
      <x:c r="W266" s="112" t="str">
        <x:v>https://leetcode.com/problems/course-schedule-ii/</x:v>
      </x:c>
    </x:row>
    <x:row r="267" ht="34" customHeight="1">
      <x:c r="A267" s="99" t="n">
        <x:v>53</x:v>
      </x:c>
      <x:c r="B267" s="145" t="str">
        <x:v>阶段六 面试冲刺与错题回收</x:v>
      </x:c>
      <x:c r="C267" s="145" t="n">
        <x:v>3</x:v>
      </x:c>
      <x:c r="D267" s="145" t="str">
        <x:v>长间隔复做</x:v>
      </x:c>
      <x:c r="E267" s="145" t="str">
        <x:v>模拟题二</x:v>
      </x:c>
      <x:c r="F267" s="145" t="n">
        <x:v>26</x:v>
      </x:c>
      <x:c r="G267" s="145" t="n">
        <x:v>19</x:v>
      </x:c>
      <x:c r="H267" s="145" t="n">
        <x:v>621</x:v>
      </x:c>
      <x:c r="I267" s="151" t="str">
        <x:v>任务调度器</x:v>
      </x:c>
      <x:c r="J267" s="151" t="str">
        <x:v>Task Scheduler</x:v>
      </x:c>
      <x:c r="K267" s="145" t="str">
        <x:v>中等</x:v>
      </x:c>
      <x:c r="L267" s="145" t="str">
        <x:v>堆与优先队列</x:v>
      </x:c>
      <x:c r="M267" s="145" t="str">
        <x:v>堆与贪心</x:v>
      </x:c>
      <x:c r="N267" s="165" t="str">
        <x:v>频次计数与调度</x:v>
      </x:c>
      <x:c r="O267" s="165" t="str">
        <x:v>Grind 75核心</x:v>
      </x:c>
      <x:c r="P267" s="171" t="n">
        <x:v>18</x:v>
      </x:c>
      <x:c r="Q267" s="151" t="str">
        <x:v>严格限时独立完成，先说模式与不变量，再回答复杂度和替代方案</x:v>
      </x:c>
      <x:c r="R267" s="145" t="str">
        <x:v>未开始</x:v>
      </x:c>
      <x:c r="S267" s="145"/>
      <x:c r="T267" s="177"/>
      <x:c r="U267" s="145"/>
      <x:c r="V267" s="151"/>
      <x:c r="W267" s="112" t="str">
        <x:v>https://leetcode.com/problems/task-scheduler/</x:v>
      </x:c>
    </x:row>
    <x:row r="268" ht="34" customHeight="1">
      <x:c r="A268" s="99" t="n">
        <x:v>53</x:v>
      </x:c>
      <x:c r="B268" s="145" t="str">
        <x:v>阶段六 面试冲刺与错题回收</x:v>
      </x:c>
      <x:c r="C268" s="145" t="n">
        <x:v>4</x:v>
      </x:c>
      <x:c r="D268" s="145" t="str">
        <x:v>长间隔复做</x:v>
      </x:c>
      <x:c r="E268" s="145" t="str">
        <x:v>进阶题</x:v>
      </x:c>
      <x:c r="F268" s="145" t="n">
        <x:v>25</x:v>
      </x:c>
      <x:c r="G268" s="145" t="n">
        <x:v>18</x:v>
      </x:c>
      <x:c r="H268" s="145" t="n">
        <x:v>230</x:v>
      </x:c>
      <x:c r="I268" s="151" t="str">
        <x:v>二叉搜索树中第K小的元素</x:v>
      </x:c>
      <x:c r="J268" s="151" t="str">
        <x:v>Kth Smallest Element in a BST</x:v>
      </x:c>
      <x:c r="K268" s="145" t="str">
        <x:v>中等</x:v>
      </x:c>
      <x:c r="L268" s="145" t="str">
        <x:v>树与递归</x:v>
      </x:c>
      <x:c r="M268" s="145" t="str">
        <x:v>二叉搜索树</x:v>
      </x:c>
      <x:c r="N268" s="165" t="str">
        <x:v>中序遍历</x:v>
      </x:c>
      <x:c r="O268" s="165" t="str">
        <x:v>Grind 75核心</x:v>
      </x:c>
      <x:c r="P268" s="171" t="n">
        <x:v>12</x:v>
      </x:c>
      <x:c r="Q268" s="151" t="str">
        <x:v>严格限时独立完成，先说模式与不变量，再回答复杂度和替代方案</x:v>
      </x:c>
      <x:c r="R268" s="145" t="str">
        <x:v>未开始</x:v>
      </x:c>
      <x:c r="S268" s="145"/>
      <x:c r="T268" s="177"/>
      <x:c r="U268" s="145"/>
      <x:c r="V268" s="151"/>
      <x:c r="W268" s="112" t="str">
        <x:v>https://leetcode.com/problems/kth-smallest-element-in-a-bst/</x:v>
      </x:c>
    </x:row>
    <x:row r="269" ht="34" customHeight="1">
      <x:c r="A269" s="99" t="n">
        <x:v>53</x:v>
      </x:c>
      <x:c r="B269" s="145" t="str">
        <x:v>阶段六 面试冲刺与错题回收</x:v>
      </x:c>
      <x:c r="C269" s="145" t="n">
        <x:v>5</x:v>
      </x:c>
      <x:c r="D269" s="145" t="str">
        <x:v>长间隔复做</x:v>
      </x:c>
      <x:c r="E269" s="145" t="str">
        <x:v>错题回收</x:v>
      </x:c>
      <x:c r="F269" s="145" t="n">
        <x:v>25</x:v>
      </x:c>
      <x:c r="G269" s="145" t="n">
        <x:v>18</x:v>
      </x:c>
      <x:c r="H269" s="145" t="n">
        <x:v>146</x:v>
      </x:c>
      <x:c r="I269" s="151" t="str">
        <x:v>LRU缓存</x:v>
      </x:c>
      <x:c r="J269" s="151" t="str">
        <x:v>LRU Cache</x:v>
      </x:c>
      <x:c r="K269" s="145" t="str">
        <x:v>中等</x:v>
      </x:c>
      <x:c r="L269" s="145" t="str">
        <x:v>设计</x:v>
      </x:c>
      <x:c r="M269" s="145" t="str">
        <x:v>设计</x:v>
      </x:c>
      <x:c r="N269" s="165" t="str">
        <x:v>哈希表与双向链表</x:v>
      </x:c>
      <x:c r="O269" s="165" t="str">
        <x:v>Grind 75核心</x:v>
      </x:c>
      <x:c r="P269" s="171" t="n">
        <x:v>15</x:v>
      </x:c>
      <x:c r="Q269" s="151" t="str">
        <x:v>严格限时独立完成，先说模式与不变量，再回答复杂度和替代方案</x:v>
      </x:c>
      <x:c r="R269" s="145" t="str">
        <x:v>未开始</x:v>
      </x:c>
      <x:c r="S269" s="145"/>
      <x:c r="T269" s="177"/>
      <x:c r="U269" s="145"/>
      <x:c r="V269" s="151"/>
      <x:c r="W269" s="112" t="str">
        <x:v>https://leetcode.com/problems/lru-cache/</x:v>
      </x:c>
    </x:row>
    <x:row r="270" ht="34" customHeight="1">
      <x:c r="A270" s="99" t="n">
        <x:v>54</x:v>
      </x:c>
      <x:c r="B270" s="145" t="str">
        <x:v>阶段六 面试冲刺与错题回收</x:v>
      </x:c>
      <x:c r="C270" s="145" t="n">
        <x:v>1</x:v>
      </x:c>
      <x:c r="D270" s="145" t="str">
        <x:v>长间隔复做</x:v>
      </x:c>
      <x:c r="E270" s="145" t="str">
        <x:v>热身题</x:v>
      </x:c>
      <x:c r="F270" s="145" t="n">
        <x:v>27</x:v>
      </x:c>
      <x:c r="G270" s="145" t="n">
        <x:v>21</x:v>
      </x:c>
      <x:c r="H270" s="145" t="n">
        <x:v>310</x:v>
      </x:c>
      <x:c r="I270" s="151" t="str">
        <x:v>最小高度树</x:v>
      </x:c>
      <x:c r="J270" s="151" t="str">
        <x:v>Minimum Height Trees</x:v>
      </x:c>
      <x:c r="K270" s="145" t="str">
        <x:v>中等</x:v>
      </x:c>
      <x:c r="L270" s="145" t="str">
        <x:v>图与并查集</x:v>
      </x:c>
      <x:c r="M270" s="145" t="str">
        <x:v>图论</x:v>
      </x:c>
      <x:c r="N270" s="165" t="str">
        <x:v>拓扑剥叶</x:v>
      </x:c>
      <x:c r="O270" s="165" t="str">
        <x:v>Grind 75核心</x:v>
      </x:c>
      <x:c r="P270" s="171" t="n">
        <x:v>15</x:v>
      </x:c>
      <x:c r="Q270" s="151" t="str">
        <x:v>严格限时独立完成，先说模式与不变量，再回答复杂度和替代方案</x:v>
      </x:c>
      <x:c r="R270" s="145" t="str">
        <x:v>未开始</x:v>
      </x:c>
      <x:c r="S270" s="145"/>
      <x:c r="T270" s="177"/>
      <x:c r="U270" s="145"/>
      <x:c r="V270" s="151"/>
      <x:c r="W270" s="112" t="str">
        <x:v>https://leetcode.com/problems/minimum-height-trees/</x:v>
      </x:c>
    </x:row>
    <x:row r="271" ht="34" customHeight="1">
      <x:c r="A271" s="99" t="n">
        <x:v>54</x:v>
      </x:c>
      <x:c r="B271" s="145" t="str">
        <x:v>阶段六 面试冲刺与错题回收</x:v>
      </x:c>
      <x:c r="C271" s="145" t="n">
        <x:v>2</x:v>
      </x:c>
      <x:c r="D271" s="145" t="str">
        <x:v>长间隔复做</x:v>
      </x:c>
      <x:c r="E271" s="145" t="str">
        <x:v>模拟题一</x:v>
      </x:c>
      <x:c r="F271" s="145" t="n">
        <x:v>25</x:v>
      </x:c>
      <x:c r="G271" s="145" t="n">
        <x:v>18</x:v>
      </x:c>
      <x:c r="H271" s="145" t="n">
        <x:v>76</x:v>
      </x:c>
      <x:c r="I271" s="151" t="str">
        <x:v>最小覆盖子串</x:v>
      </x:c>
      <x:c r="J271" s="151" t="str">
        <x:v>Minimum Window Substring</x:v>
      </x:c>
      <x:c r="K271" s="145" t="str">
        <x:v>困难</x:v>
      </x:c>
      <x:c r="L271" s="145" t="str">
        <x:v>滑动窗口与单调队列</x:v>
      </x:c>
      <x:c r="M271" s="145" t="str">
        <x:v>滑动窗口</x:v>
      </x:c>
      <x:c r="N271" s="165" t="str">
        <x:v>满足条件后的收缩</x:v>
      </x:c>
      <x:c r="O271" s="165" t="str">
        <x:v>Grind 75核心</x:v>
      </x:c>
      <x:c r="P271" s="171" t="n">
        <x:v>15</x:v>
      </x:c>
      <x:c r="Q271" s="151" t="str">
        <x:v>严格限时独立完成，先说模式与不变量，再回答复杂度和替代方案</x:v>
      </x:c>
      <x:c r="R271" s="145" t="str">
        <x:v>未开始</x:v>
      </x:c>
      <x:c r="S271" s="145"/>
      <x:c r="T271" s="177"/>
      <x:c r="U271" s="145"/>
      <x:c r="V271" s="151"/>
      <x:c r="W271" s="112" t="str">
        <x:v>https://leetcode.com/problems/minimum-window-substring/</x:v>
      </x:c>
    </x:row>
    <x:row r="272" ht="34" customHeight="1">
      <x:c r="A272" s="99" t="n">
        <x:v>54</x:v>
      </x:c>
      <x:c r="B272" s="145" t="str">
        <x:v>阶段六 面试冲刺与错题回收</x:v>
      </x:c>
      <x:c r="C272" s="145" t="n">
        <x:v>3</x:v>
      </x:c>
      <x:c r="D272" s="145" t="str">
        <x:v>长间隔复做</x:v>
      </x:c>
      <x:c r="E272" s="145" t="str">
        <x:v>模拟题二</x:v>
      </x:c>
      <x:c r="F272" s="145" t="n">
        <x:v>25</x:v>
      </x:c>
      <x:c r="G272" s="145" t="n">
        <x:v>18</x:v>
      </x:c>
      <x:c r="H272" s="145" t="n">
        <x:v>297</x:v>
      </x:c>
      <x:c r="I272" s="151" t="str">
        <x:v>二叉树的序列化与反序列化</x:v>
      </x:c>
      <x:c r="J272" s="151" t="str">
        <x:v>Serialize and Deserialize Binary Tree</x:v>
      </x:c>
      <x:c r="K272" s="145" t="str">
        <x:v>困难</x:v>
      </x:c>
      <x:c r="L272" s="145" t="str">
        <x:v>树与递归</x:v>
      </x:c>
      <x:c r="M272" s="145" t="str">
        <x:v>二叉树</x:v>
      </x:c>
      <x:c r="N272" s="165" t="str">
        <x:v>编解码与遍历</x:v>
      </x:c>
      <x:c r="O272" s="165" t="str">
        <x:v>Grind 75核心</x:v>
      </x:c>
      <x:c r="P272" s="171" t="n">
        <x:v>20</x:v>
      </x:c>
      <x:c r="Q272" s="151" t="str">
        <x:v>严格限时独立完成，先说模式与不变量，再回答复杂度和替代方案</x:v>
      </x:c>
      <x:c r="R272" s="145" t="str">
        <x:v>未开始</x:v>
      </x:c>
      <x:c r="S272" s="145"/>
      <x:c r="T272" s="177"/>
      <x:c r="U272" s="145"/>
      <x:c r="V272" s="151"/>
      <x:c r="W272" s="112" t="str">
        <x:v>https://leetcode.com/problems/serialize-and-deserialize-binary-tree/</x:v>
      </x:c>
    </x:row>
    <x:row r="273" ht="34" customHeight="1">
      <x:c r="A273" s="99" t="n">
        <x:v>54</x:v>
      </x:c>
      <x:c r="B273" s="145" t="str">
        <x:v>阶段六 面试冲刺与错题回收</x:v>
      </x:c>
      <x:c r="C273" s="145" t="n">
        <x:v>4</x:v>
      </x:c>
      <x:c r="D273" s="145" t="str">
        <x:v>长间隔复做</x:v>
      </x:c>
      <x:c r="E273" s="145" t="str">
        <x:v>进阶题</x:v>
      </x:c>
      <x:c r="F273" s="145" t="n">
        <x:v>24</x:v>
      </x:c>
      <x:c r="G273" s="145" t="n">
        <x:v>16</x:v>
      </x:c>
      <x:c r="H273" s="145" t="n">
        <x:v>295</x:v>
      </x:c>
      <x:c r="I273" s="151" t="str">
        <x:v>数据流的中位数</x:v>
      </x:c>
      <x:c r="J273" s="151" t="str">
        <x:v>Find Median from Data Stream</x:v>
      </x:c>
      <x:c r="K273" s="145" t="str">
        <x:v>困难</x:v>
      </x:c>
      <x:c r="L273" s="145" t="str">
        <x:v>堆与优先队列</x:v>
      </x:c>
      <x:c r="M273" s="145" t="str">
        <x:v>堆与优先队列</x:v>
      </x:c>
      <x:c r="N273" s="165" t="str">
        <x:v>大小堆平衡</x:v>
      </x:c>
      <x:c r="O273" s="165" t="str">
        <x:v>Grind 75核心</x:v>
      </x:c>
      <x:c r="P273" s="171" t="n">
        <x:v>15</x:v>
      </x:c>
      <x:c r="Q273" s="151" t="str">
        <x:v>严格限时独立完成，先说模式与不变量，再回答复杂度和替代方案</x:v>
      </x:c>
      <x:c r="R273" s="145" t="str">
        <x:v>未开始</x:v>
      </x:c>
      <x:c r="S273" s="145"/>
      <x:c r="T273" s="177"/>
      <x:c r="U273" s="145"/>
      <x:c r="V273" s="151"/>
      <x:c r="W273" s="112" t="str">
        <x:v>https://leetcode.com/problems/find-median-from-data-stream/</x:v>
      </x:c>
    </x:row>
    <x:row r="274" ht="34" customHeight="1">
      <x:c r="A274" s="99" t="n">
        <x:v>54</x:v>
      </x:c>
      <x:c r="B274" s="145" t="str">
        <x:v>阶段六 面试冲刺与错题回收</x:v>
      </x:c>
      <x:c r="C274" s="145" t="n">
        <x:v>5</x:v>
      </x:c>
      <x:c r="D274" s="145" t="str">
        <x:v>长间隔复做</x:v>
      </x:c>
      <x:c r="E274" s="145" t="str">
        <x:v>错题回收</x:v>
      </x:c>
      <x:c r="F274" s="145" t="n">
        <x:v>24</x:v>
      </x:c>
      <x:c r="G274" s="145" t="n">
        <x:v>17</x:v>
      </x:c>
      <x:c r="H274" s="145" t="n">
        <x:v>42</x:v>
      </x:c>
      <x:c r="I274" s="151" t="str">
        <x:v>接雨水</x:v>
      </x:c>
      <x:c r="J274" s="151" t="str">
        <x:v>Trapping Rain Water</x:v>
      </x:c>
      <x:c r="K274" s="145" t="str">
        <x:v>困难</x:v>
      </x:c>
      <x:c r="L274" s="145" t="str">
        <x:v>单调栈</x:v>
      </x:c>
      <x:c r="M274" s="145" t="str">
        <x:v>单调栈与双指针</x:v>
      </x:c>
      <x:c r="N274" s="165" t="str">
        <x:v>左右最大值或单调栈</x:v>
      </x:c>
      <x:c r="O274" s="165" t="str">
        <x:v>Grind 75核心</x:v>
      </x:c>
      <x:c r="P274" s="171" t="n">
        <x:v>18</x:v>
      </x:c>
      <x:c r="Q274" s="151" t="str">
        <x:v>严格限时独立完成，先说模式与不变量，再回答复杂度和替代方案</x:v>
      </x:c>
      <x:c r="R274" s="145" t="str">
        <x:v>未开始</x:v>
      </x:c>
      <x:c r="S274" s="145"/>
      <x:c r="T274" s="177"/>
      <x:c r="U274" s="145"/>
      <x:c r="V274" s="151"/>
      <x:c r="W274" s="112" t="str">
        <x:v>https://leetcode.com/problems/trapping-rain-water/</x:v>
      </x:c>
    </x:row>
    <x:row r="275" ht="34" customHeight="1">
      <x:c r="A275" s="99" t="n">
        <x:v>55</x:v>
      </x:c>
      <x:c r="B275" s="145" t="str">
        <x:v>阶段六 面试冲刺与错题回收</x:v>
      </x:c>
      <x:c r="C275" s="145" t="n">
        <x:v>1</x:v>
      </x:c>
      <x:c r="D275" s="145" t="str">
        <x:v>长间隔复做</x:v>
      </x:c>
      <x:c r="E275" s="145" t="str">
        <x:v>热身题</x:v>
      </x:c>
      <x:c r="F275" s="145" t="n">
        <x:v>24</x:v>
      </x:c>
      <x:c r="G275" s="145" t="n">
        <x:v>16</x:v>
      </x:c>
      <x:c r="H275" s="145" t="n">
        <x:v>127</x:v>
      </x:c>
      <x:c r="I275" s="151" t="str">
        <x:v>单词接龙</x:v>
      </x:c>
      <x:c r="J275" s="151" t="str">
        <x:v>Word Ladder</x:v>
      </x:c>
      <x:c r="K275" s="145" t="str">
        <x:v>困难</x:v>
      </x:c>
      <x:c r="L275" s="145" t="str">
        <x:v>图与并查集</x:v>
      </x:c>
      <x:c r="M275" s="145" t="str">
        <x:v>图论</x:v>
      </x:c>
      <x:c r="N275" s="165" t="str">
        <x:v>广搜最短路</x:v>
      </x:c>
      <x:c r="O275" s="165" t="str">
        <x:v>Grind 75核心</x:v>
      </x:c>
      <x:c r="P275" s="171" t="n">
        <x:v>20</x:v>
      </x:c>
      <x:c r="Q275" s="151" t="str">
        <x:v>严格限时独立完成，先说模式与不变量，再回答复杂度和替代方案</x:v>
      </x:c>
      <x:c r="R275" s="145" t="str">
        <x:v>未开始</x:v>
      </x:c>
      <x:c r="S275" s="145"/>
      <x:c r="T275" s="177"/>
      <x:c r="U275" s="145"/>
      <x:c r="V275" s="151"/>
      <x:c r="W275" s="112" t="str">
        <x:v>https://leetcode.com/problems/word-ladder/</x:v>
      </x:c>
    </x:row>
    <x:row r="276" ht="34" customHeight="1">
      <x:c r="A276" s="99" t="n">
        <x:v>55</x:v>
      </x:c>
      <x:c r="B276" s="145" t="str">
        <x:v>阶段六 面试冲刺与错题回收</x:v>
      </x:c>
      <x:c r="C276" s="145" t="n">
        <x:v>2</x:v>
      </x:c>
      <x:c r="D276" s="145" t="str">
        <x:v>长间隔复做</x:v>
      </x:c>
      <x:c r="E276" s="145" t="str">
        <x:v>模拟题一</x:v>
      </x:c>
      <x:c r="F276" s="145" t="n">
        <x:v>24</x:v>
      </x:c>
      <x:c r="G276" s="145" t="n">
        <x:v>16</x:v>
      </x:c>
      <x:c r="H276" s="145" t="n">
        <x:v>224</x:v>
      </x:c>
      <x:c r="I276" s="151" t="str">
        <x:v>基本计算器</x:v>
      </x:c>
      <x:c r="J276" s="151" t="str">
        <x:v>Basic Calculator</x:v>
      </x:c>
      <x:c r="K276" s="145" t="str">
        <x:v>困难</x:v>
      </x:c>
      <x:c r="L276" s="145" t="str">
        <x:v>栈与队列</x:v>
      </x:c>
      <x:c r="M276" s="145" t="str">
        <x:v>栈与队列</x:v>
      </x:c>
      <x:c r="N276" s="165" t="str">
        <x:v>表达式解析</x:v>
      </x:c>
      <x:c r="O276" s="165" t="str">
        <x:v>Grind 75核心</x:v>
      </x:c>
      <x:c r="P276" s="171" t="n">
        <x:v>20</x:v>
      </x:c>
      <x:c r="Q276" s="151" t="str">
        <x:v>严格限时独立完成，先说模式与不变量，再回答复杂度和替代方案</x:v>
      </x:c>
      <x:c r="R276" s="145" t="str">
        <x:v>未开始</x:v>
      </x:c>
      <x:c r="S276" s="145"/>
      <x:c r="T276" s="177"/>
      <x:c r="U276" s="145"/>
      <x:c r="V276" s="151"/>
      <x:c r="W276" s="112" t="str">
        <x:v>https://leetcode.com/problems/basic-calculator/</x:v>
      </x:c>
    </x:row>
    <x:row r="277" ht="34" customHeight="1">
      <x:c r="A277" s="99" t="n">
        <x:v>55</x:v>
      </x:c>
      <x:c r="B277" s="145" t="str">
        <x:v>阶段六 面试冲刺与错题回收</x:v>
      </x:c>
      <x:c r="C277" s="145" t="n">
        <x:v>3</x:v>
      </x:c>
      <x:c r="D277" s="145" t="str">
        <x:v>长间隔复做</x:v>
      </x:c>
      <x:c r="E277" s="145" t="str">
        <x:v>模拟题二</x:v>
      </x:c>
      <x:c r="F277" s="145" t="n">
        <x:v>23</x:v>
      </x:c>
      <x:c r="G277" s="145" t="n">
        <x:v>15</x:v>
      </x:c>
      <x:c r="H277" s="145" t="n">
        <x:v>1235</x:v>
      </x:c>
      <x:c r="I277" s="151" t="str">
        <x:v>规划兼职工作</x:v>
      </x:c>
      <x:c r="J277" s="151" t="str">
        <x:v>Maximum Profit in Job Scheduling</x:v>
      </x:c>
      <x:c r="K277" s="145" t="str">
        <x:v>困难</x:v>
      </x:c>
      <x:c r="L277" s="145" t="str">
        <x:v>动态规划</x:v>
      </x:c>
      <x:c r="M277" s="145" t="str">
        <x:v>动态规划与二分</x:v>
      </x:c>
      <x:c r="N277" s="165" t="str">
        <x:v>加权区间调度</x:v>
      </x:c>
      <x:c r="O277" s="165" t="str">
        <x:v>Grind 75核心</x:v>
      </x:c>
      <x:c r="P277" s="171" t="n">
        <x:v>20</x:v>
      </x:c>
      <x:c r="Q277" s="151" t="str">
        <x:v>严格限时独立完成，先说模式与不变量，再回答复杂度和替代方案</x:v>
      </x:c>
      <x:c r="R277" s="145" t="str">
        <x:v>未开始</x:v>
      </x:c>
      <x:c r="S277" s="145"/>
      <x:c r="T277" s="177"/>
      <x:c r="U277" s="145"/>
      <x:c r="V277" s="151"/>
      <x:c r="W277" s="112" t="str">
        <x:v>https://leetcode.com/problems/maximum-profit-in-job-scheduling/</x:v>
      </x:c>
    </x:row>
    <x:row r="278" ht="34" customHeight="1">
      <x:c r="A278" s="99" t="n">
        <x:v>55</x:v>
      </x:c>
      <x:c r="B278" s="145" t="str">
        <x:v>阶段六 面试冲刺与错题回收</x:v>
      </x:c>
      <x:c r="C278" s="145" t="n">
        <x:v>4</x:v>
      </x:c>
      <x:c r="D278" s="145" t="str">
        <x:v>长间隔复做</x:v>
      </x:c>
      <x:c r="E278" s="145" t="str">
        <x:v>进阶题</x:v>
      </x:c>
      <x:c r="F278" s="145" t="n">
        <x:v>22</x:v>
      </x:c>
      <x:c r="G278" s="145" t="n">
        <x:v>14</x:v>
      </x:c>
      <x:c r="H278" s="145" t="n">
        <x:v>84</x:v>
      </x:c>
      <x:c r="I278" s="151" t="str">
        <x:v>柱状图中最大的矩形</x:v>
      </x:c>
      <x:c r="J278" s="151" t="str">
        <x:v>Largest Rectangle in Histogram</x:v>
      </x:c>
      <x:c r="K278" s="145" t="str">
        <x:v>困难</x:v>
      </x:c>
      <x:c r="L278" s="145" t="str">
        <x:v>单调栈</x:v>
      </x:c>
      <x:c r="M278" s="145" t="str">
        <x:v>单调栈</x:v>
      </x:c>
      <x:c r="N278" s="165" t="str">
        <x:v>寻找左右第一个更小值</x:v>
      </x:c>
      <x:c r="O278" s="165" t="str">
        <x:v>Grind 75核心</x:v>
      </x:c>
      <x:c r="P278" s="171" t="n">
        <x:v>18</x:v>
      </x:c>
      <x:c r="Q278" s="151" t="str">
        <x:v>严格限时独立完成，先说模式与不变量，再回答复杂度和替代方案</x:v>
      </x:c>
      <x:c r="R278" s="145" t="str">
        <x:v>未开始</x:v>
      </x:c>
      <x:c r="S278" s="145"/>
      <x:c r="T278" s="177"/>
      <x:c r="U278" s="145"/>
      <x:c r="V278" s="151"/>
      <x:c r="W278" s="112" t="str">
        <x:v>https://leetcode.com/problems/largest-rectangle-in-histogram/</x:v>
      </x:c>
    </x:row>
    <x:row r="279" ht="34" customHeight="1">
      <x:c r="A279" s="99" t="n">
        <x:v>55</x:v>
      </x:c>
      <x:c r="B279" s="145" t="str">
        <x:v>阶段六 面试冲刺与错题回收</x:v>
      </x:c>
      <x:c r="C279" s="145" t="n">
        <x:v>5</x:v>
      </x:c>
      <x:c r="D279" s="145" t="str">
        <x:v>长间隔复做</x:v>
      </x:c>
      <x:c r="E279" s="145" t="str">
        <x:v>错题回收</x:v>
      </x:c>
      <x:c r="F279" s="145" t="n">
        <x:v>23</x:v>
      </x:c>
      <x:c r="G279" s="145" t="n">
        <x:v>15</x:v>
      </x:c>
      <x:c r="H279" s="145" t="n">
        <x:v>23</x:v>
      </x:c>
      <x:c r="I279" s="151" t="str">
        <x:v>合并K个升序链表</x:v>
      </x:c>
      <x:c r="J279" s="151" t="str">
        <x:v>Merge k Sorted Lists</x:v>
      </x:c>
      <x:c r="K279" s="145" t="str">
        <x:v>困难</x:v>
      </x:c>
      <x:c r="L279" s="145" t="str">
        <x:v>堆与优先队列</x:v>
      </x:c>
      <x:c r="M279" s="145" t="str">
        <x:v>堆与链表</x:v>
      </x:c>
      <x:c r="N279" s="165" t="str">
        <x:v>多路归并</x:v>
      </x:c>
      <x:c r="O279" s="165" t="str">
        <x:v>Grind 75核心</x:v>
      </x:c>
      <x:c r="P279" s="171" t="n">
        <x:v>15</x:v>
      </x:c>
      <x:c r="Q279" s="151" t="str">
        <x:v>严格限时独立完成，先说模式与不变量，再回答复杂度和替代方案</x:v>
      </x:c>
      <x:c r="R279" s="145" t="str">
        <x:v>未开始</x:v>
      </x:c>
      <x:c r="S279" s="145"/>
      <x:c r="T279" s="177"/>
      <x:c r="U279" s="145"/>
      <x:c r="V279" s="151"/>
      <x:c r="W279" s="112" t="str">
        <x:v>https://leetcode.com/problems/merge-k-sorted-lists/</x:v>
      </x:c>
    </x:row>
    <x:row r="280" ht="34" customHeight="1">
      <x:c r="A280" s="99" t="n">
        <x:v>56</x:v>
      </x:c>
      <x:c r="B280" s="145" t="str">
        <x:v>阶段六 面试冲刺与错题回收</x:v>
      </x:c>
      <x:c r="C280" s="145" t="n">
        <x:v>1</x:v>
      </x:c>
      <x:c r="D280" s="145" t="str">
        <x:v>长间隔复做</x:v>
      </x:c>
      <x:c r="E280" s="145" t="str">
        <x:v>热身题</x:v>
      </x:c>
      <x:c r="F280" s="145" t="n">
        <x:v>23</x:v>
      </x:c>
      <x:c r="G280" s="145" t="n">
        <x:v>14</x:v>
      </x:c>
      <x:c r="H280" s="145" t="n">
        <x:v>27</x:v>
      </x:c>
      <x:c r="I280" s="151" t="str">
        <x:v>移除元素</x:v>
      </x:c>
      <x:c r="J280" s="151" t="str">
        <x:v>Remove Element</x:v>
      </x:c>
      <x:c r="K280" s="145" t="str">
        <x:v>简单</x:v>
      </x:c>
      <x:c r="L280" s="145" t="str">
        <x:v>双指针</x:v>
      </x:c>
      <x:c r="M280" s="145" t="str">
        <x:v>双指针</x:v>
      </x:c>
      <x:c r="N280" s="165" t="str">
        <x:v>快慢指针原地覆盖</x:v>
      </x:c>
      <x:c r="O280" s="165" t="str">
        <x:v>代码随想录补充</x:v>
      </x:c>
      <x:c r="P280" s="171" t="n">
        <x:v>10</x:v>
      </x:c>
      <x:c r="Q280" s="151" t="str">
        <x:v>严格限时独立完成，先说模式与不变量，再回答复杂度和替代方案</x:v>
      </x:c>
      <x:c r="R280" s="145" t="str">
        <x:v>未开始</x:v>
      </x:c>
      <x:c r="S280" s="145"/>
      <x:c r="T280" s="177"/>
      <x:c r="U280" s="145"/>
      <x:c r="V280" s="151"/>
      <x:c r="W280" s="112" t="str">
        <x:v>https://leetcode.com/problems/remove-element/</x:v>
      </x:c>
    </x:row>
    <x:row r="281" ht="34" customHeight="1">
      <x:c r="A281" s="99" t="n">
        <x:v>56</x:v>
      </x:c>
      <x:c r="B281" s="145" t="str">
        <x:v>阶段六 面试冲刺与错题回收</x:v>
      </x:c>
      <x:c r="C281" s="145" t="n">
        <x:v>2</x:v>
      </x:c>
      <x:c r="D281" s="145" t="str">
        <x:v>长间隔复做</x:v>
      </x:c>
      <x:c r="E281" s="145" t="str">
        <x:v>模拟题一</x:v>
      </x:c>
      <x:c r="F281" s="145" t="n">
        <x:v>22</x:v>
      </x:c>
      <x:c r="G281" s="145" t="n">
        <x:v>13</x:v>
      </x:c>
      <x:c r="H281" s="145" t="n">
        <x:v>209</x:v>
      </x:c>
      <x:c r="I281" s="151" t="str">
        <x:v>长度最小的子数组</x:v>
      </x:c>
      <x:c r="J281" s="151" t="str">
        <x:v>Minimum Size Subarray Sum</x:v>
      </x:c>
      <x:c r="K281" s="145" t="str">
        <x:v>中等</x:v>
      </x:c>
      <x:c r="L281" s="145" t="str">
        <x:v>滑动窗口与单调队列</x:v>
      </x:c>
      <x:c r="M281" s="145" t="str">
        <x:v>滑动窗口</x:v>
      </x:c>
      <x:c r="N281" s="165" t="str">
        <x:v>最短满足窗口</x:v>
      </x:c>
      <x:c r="O281" s="165" t="str">
        <x:v>代码随想录补充</x:v>
      </x:c>
      <x:c r="P281" s="171" t="n">
        <x:v>12</x:v>
      </x:c>
      <x:c r="Q281" s="151" t="str">
        <x:v>严格限时独立完成，先说模式与不变量，再回答复杂度和替代方案</x:v>
      </x:c>
      <x:c r="R281" s="145" t="str">
        <x:v>未开始</x:v>
      </x:c>
      <x:c r="S281" s="145"/>
      <x:c r="T281" s="177"/>
      <x:c r="U281" s="145"/>
      <x:c r="V281" s="151"/>
      <x:c r="W281" s="112" t="str">
        <x:v>https://leetcode.com/problems/minimum-size-subarray-sum/</x:v>
      </x:c>
    </x:row>
    <x:row r="282" ht="34" customHeight="1">
      <x:c r="A282" s="99" t="n">
        <x:v>56</x:v>
      </x:c>
      <x:c r="B282" s="145" t="str">
        <x:v>阶段六 面试冲刺与错题回收</x:v>
      </x:c>
      <x:c r="C282" s="145" t="n">
        <x:v>3</x:v>
      </x:c>
      <x:c r="D282" s="145" t="str">
        <x:v>长间隔复做</x:v>
      </x:c>
      <x:c r="E282" s="145" t="str">
        <x:v>模拟题二</x:v>
      </x:c>
      <x:c r="F282" s="145" t="n">
        <x:v>22</x:v>
      </x:c>
      <x:c r="G282" s="145" t="n">
        <x:v>13</x:v>
      </x:c>
      <x:c r="H282" s="145" t="n">
        <x:v>19</x:v>
      </x:c>
      <x:c r="I282" s="151" t="str">
        <x:v>删除链表的倒数第N个结点</x:v>
      </x:c>
      <x:c r="J282" s="151" t="str">
        <x:v>Remove Nth Node From End of List</x:v>
      </x:c>
      <x:c r="K282" s="145" t="str">
        <x:v>中等</x:v>
      </x:c>
      <x:c r="L282" s="145" t="str">
        <x:v>链表</x:v>
      </x:c>
      <x:c r="M282" s="145" t="str">
        <x:v>链表</x:v>
      </x:c>
      <x:c r="N282" s="165" t="str">
        <x:v>快慢指针与虚拟头结点</x:v>
      </x:c>
      <x:c r="O282" s="165" t="str">
        <x:v>代码随想录补充</x:v>
      </x:c>
      <x:c r="P282" s="171" t="n">
        <x:v>12</x:v>
      </x:c>
      <x:c r="Q282" s="151" t="str">
        <x:v>严格限时独立完成，先说模式与不变量，再回答复杂度和替代方案</x:v>
      </x:c>
      <x:c r="R282" s="145" t="str">
        <x:v>未开始</x:v>
      </x:c>
      <x:c r="S282" s="145"/>
      <x:c r="T282" s="177"/>
      <x:c r="U282" s="145"/>
      <x:c r="V282" s="151"/>
      <x:c r="W282" s="112" t="str">
        <x:v>https://leetcode.com/problems/remove-nth-node-from-end-of-list/</x:v>
      </x:c>
    </x:row>
    <x:row r="283" ht="34" customHeight="1">
      <x:c r="A283" s="99" t="n">
        <x:v>56</x:v>
      </x:c>
      <x:c r="B283" s="145" t="str">
        <x:v>阶段六 面试冲刺与错题回收</x:v>
      </x:c>
      <x:c r="C283" s="145" t="n">
        <x:v>4</x:v>
      </x:c>
      <x:c r="D283" s="145" t="str">
        <x:v>长间隔复做</x:v>
      </x:c>
      <x:c r="E283" s="145" t="str">
        <x:v>进阶题</x:v>
      </x:c>
      <x:c r="F283" s="145" t="n">
        <x:v>20</x:v>
      </x:c>
      <x:c r="G283" s="145" t="n">
        <x:v>10</x:v>
      </x:c>
      <x:c r="H283" s="145" t="n">
        <x:v>239</x:v>
      </x:c>
      <x:c r="I283" s="151" t="str">
        <x:v>滑动窗口最大值</x:v>
      </x:c>
      <x:c r="J283" s="151" t="str">
        <x:v>Sliding Window Maximum</x:v>
      </x:c>
      <x:c r="K283" s="145" t="str">
        <x:v>困难</x:v>
      </x:c>
      <x:c r="L283" s="145" t="str">
        <x:v>滑动窗口与单调队列</x:v>
      </x:c>
      <x:c r="M283" s="145" t="str">
        <x:v>单调队列</x:v>
      </x:c>
      <x:c r="N283" s="165" t="str">
        <x:v>维护单调双端队列</x:v>
      </x:c>
      <x:c r="O283" s="165" t="str">
        <x:v>代码随想录补充</x:v>
      </x:c>
      <x:c r="P283" s="171" t="n">
        <x:v>18</x:v>
      </x:c>
      <x:c r="Q283" s="151" t="str">
        <x:v>严格限时独立完成，先说模式与不变量，再回答复杂度和替代方案</x:v>
      </x:c>
      <x:c r="R283" s="145" t="str">
        <x:v>未开始</x:v>
      </x:c>
      <x:c r="S283" s="145"/>
      <x:c r="T283" s="177"/>
      <x:c r="U283" s="145"/>
      <x:c r="V283" s="151"/>
      <x:c r="W283" s="112" t="str">
        <x:v>https://leetcode.com/problems/sliding-window-maximum/</x:v>
      </x:c>
    </x:row>
    <x:row r="284" ht="34" customHeight="1">
      <x:c r="A284" s="99" t="n">
        <x:v>56</x:v>
      </x:c>
      <x:c r="B284" s="145" t="str">
        <x:v>阶段六 面试冲刺与错题回收</x:v>
      </x:c>
      <x:c r="C284" s="145" t="n">
        <x:v>5</x:v>
      </x:c>
      <x:c r="D284" s="145" t="str">
        <x:v>长间隔复做</x:v>
      </x:c>
      <x:c r="E284" s="145" t="str">
        <x:v>错题回收</x:v>
      </x:c>
      <x:c r="F284" s="145" t="n">
        <x:v>20</x:v>
      </x:c>
      <x:c r="G284" s="145" t="n">
        <x:v>11</x:v>
      </x:c>
      <x:c r="H284" s="145" t="n">
        <x:v>560</x:v>
      </x:c>
      <x:c r="I284" s="151" t="str">
        <x:v>和为K的子数组</x:v>
      </x:c>
      <x:c r="J284" s="151" t="str">
        <x:v>Subarray Sum Equals K</x:v>
      </x:c>
      <x:c r="K284" s="145" t="str">
        <x:v>中等</x:v>
      </x:c>
      <x:c r="L284" s="145" t="str">
        <x:v>数组与哈希</x:v>
      </x:c>
      <x:c r="M284" s="145" t="str">
        <x:v>前缀和与哈希</x:v>
      </x:c>
      <x:c r="N284" s="165" t="str">
        <x:v>前缀和频次计数</x:v>
      </x:c>
      <x:c r="O284" s="165" t="str">
        <x:v>Grind 169扩展</x:v>
      </x:c>
      <x:c r="P284" s="171" t="n">
        <x:v>18</x:v>
      </x:c>
      <x:c r="Q284" s="151" t="str">
        <x:v>严格限时独立完成，先说模式与不变量，再回答复杂度和替代方案</x:v>
      </x:c>
      <x:c r="R284" s="145" t="str">
        <x:v>未开始</x:v>
      </x:c>
      <x:c r="S284" s="145"/>
      <x:c r="T284" s="177"/>
      <x:c r="U284" s="145"/>
      <x:c r="V284" s="151"/>
      <x:c r="W284" s="112" t="str">
        <x:v>https://leetcode.com/problems/subarray-sum-equals-k/</x:v>
      </x:c>
    </x:row>
    <x:row r="285" ht="34" customHeight="1">
      <x:c r="A285" s="99" t="n">
        <x:v>57</x:v>
      </x:c>
      <x:c r="B285" s="145" t="str">
        <x:v>阶段六 面试冲刺与错题回收</x:v>
      </x:c>
      <x:c r="C285" s="145" t="n">
        <x:v>1</x:v>
      </x:c>
      <x:c r="D285" s="145" t="str">
        <x:v>长间隔复做</x:v>
      </x:c>
      <x:c r="E285" s="145" t="str">
        <x:v>热身题</x:v>
      </x:c>
      <x:c r="F285" s="145" t="n">
        <x:v>20</x:v>
      </x:c>
      <x:c r="G285" s="145" t="n">
        <x:v>10</x:v>
      </x:c>
      <x:c r="H285" s="145" t="n">
        <x:v>112</x:v>
      </x:c>
      <x:c r="I285" s="151" t="str">
        <x:v>路径总和</x:v>
      </x:c>
      <x:c r="J285" s="151" t="str">
        <x:v>Path Sum</x:v>
      </x:c>
      <x:c r="K285" s="145" t="str">
        <x:v>简单</x:v>
      </x:c>
      <x:c r="L285" s="145" t="str">
        <x:v>树与递归</x:v>
      </x:c>
      <x:c r="M285" s="145" t="str">
        <x:v>二叉树</x:v>
      </x:c>
      <x:c r="N285" s="165" t="str">
        <x:v>根到叶路径递归</x:v>
      </x:c>
      <x:c r="O285" s="165" t="str">
        <x:v>代码随想录补充</x:v>
      </x:c>
      <x:c r="P285" s="171" t="n">
        <x:v>10</x:v>
      </x:c>
      <x:c r="Q285" s="151" t="str">
        <x:v>严格限时独立完成，先说模式与不变量，再回答复杂度和替代方案</x:v>
      </x:c>
      <x:c r="R285" s="145" t="str">
        <x:v>未开始</x:v>
      </x:c>
      <x:c r="S285" s="145"/>
      <x:c r="T285" s="177"/>
      <x:c r="U285" s="145"/>
      <x:c r="V285" s="151"/>
      <x:c r="W285" s="112" t="str">
        <x:v>https://leetcode.com/problems/path-sum/</x:v>
      </x:c>
    </x:row>
    <x:row r="286" ht="34" customHeight="1">
      <x:c r="A286" s="99" t="n">
        <x:v>57</x:v>
      </x:c>
      <x:c r="B286" s="145" t="str">
        <x:v>阶段六 面试冲刺与错题回收</x:v>
      </x:c>
      <x:c r="C286" s="145" t="n">
        <x:v>2</x:v>
      </x:c>
      <x:c r="D286" s="145" t="str">
        <x:v>长间隔复做</x:v>
      </x:c>
      <x:c r="E286" s="145" t="str">
        <x:v>模拟题一</x:v>
      </x:c>
      <x:c r="F286" s="145" t="n">
        <x:v>22</x:v>
      </x:c>
      <x:c r="G286" s="145" t="n">
        <x:v>13</x:v>
      </x:c>
      <x:c r="H286" s="145" t="n">
        <x:v>24</x:v>
      </x:c>
      <x:c r="I286" s="151" t="str">
        <x:v>两两交换链表中的节点</x:v>
      </x:c>
      <x:c r="J286" s="151" t="str">
        <x:v>Swap Nodes in Pairs</x:v>
      </x:c>
      <x:c r="K286" s="145" t="str">
        <x:v>中等</x:v>
      </x:c>
      <x:c r="L286" s="145" t="str">
        <x:v>链表</x:v>
      </x:c>
      <x:c r="M286" s="145" t="str">
        <x:v>链表</x:v>
      </x:c>
      <x:c r="N286" s="165" t="str">
        <x:v>局部指针重连</x:v>
      </x:c>
      <x:c r="O286" s="165" t="str">
        <x:v>代码随想录补充</x:v>
      </x:c>
      <x:c r="P286" s="171" t="n">
        <x:v>12</x:v>
      </x:c>
      <x:c r="Q286" s="151" t="str">
        <x:v>严格限时独立完成，先说模式与不变量，再回答复杂度和替代方案</x:v>
      </x:c>
      <x:c r="R286" s="145" t="str">
        <x:v>未开始</x:v>
      </x:c>
      <x:c r="S286" s="145"/>
      <x:c r="T286" s="177"/>
      <x:c r="U286" s="145"/>
      <x:c r="V286" s="151"/>
      <x:c r="W286" s="112" t="str">
        <x:v>https://leetcode.com/problems/swap-nodes-in-pairs/</x:v>
      </x:c>
    </x:row>
    <x:row r="287" ht="34" customHeight="1">
      <x:c r="A287" s="99" t="n">
        <x:v>57</x:v>
      </x:c>
      <x:c r="B287" s="145" t="str">
        <x:v>阶段六 面试冲刺与错题回收</x:v>
      </x:c>
      <x:c r="C287" s="145" t="n">
        <x:v>3</x:v>
      </x:c>
      <x:c r="D287" s="145" t="str">
        <x:v>长间隔复做</x:v>
      </x:c>
      <x:c r="E287" s="145" t="str">
        <x:v>模拟题二</x:v>
      </x:c>
      <x:c r="F287" s="145" t="n">
        <x:v>22</x:v>
      </x:c>
      <x:c r="G287" s="145" t="n">
        <x:v>12</x:v>
      </x:c>
      <x:c r="H287" s="145" t="n">
        <x:v>142</x:v>
      </x:c>
      <x:c r="I287" s="151" t="str">
        <x:v>环形链表II</x:v>
      </x:c>
      <x:c r="J287" s="151" t="str">
        <x:v>Linked List Cycle II</x:v>
      </x:c>
      <x:c r="K287" s="145" t="str">
        <x:v>中等</x:v>
      </x:c>
      <x:c r="L287" s="145" t="str">
        <x:v>链表</x:v>
      </x:c>
      <x:c r="M287" s="145" t="str">
        <x:v>链表</x:v>
      </x:c>
      <x:c r="N287" s="165" t="str">
        <x:v>Floyd环入口推导</x:v>
      </x:c>
      <x:c r="O287" s="165" t="str">
        <x:v>代码随想录补充</x:v>
      </x:c>
      <x:c r="P287" s="171" t="n">
        <x:v>12</x:v>
      </x:c>
      <x:c r="Q287" s="151" t="str">
        <x:v>严格限时独立完成，先说模式与不变量，再回答复杂度和替代方案</x:v>
      </x:c>
      <x:c r="R287" s="145" t="str">
        <x:v>未开始</x:v>
      </x:c>
      <x:c r="S287" s="145"/>
      <x:c r="T287" s="177"/>
      <x:c r="U287" s="145"/>
      <x:c r="V287" s="151"/>
      <x:c r="W287" s="112" t="str">
        <x:v>https://leetcode.com/problems/linked-list-cycle-ii/</x:v>
      </x:c>
    </x:row>
    <x:row r="288" ht="34" customHeight="1">
      <x:c r="A288" s="99" t="n">
        <x:v>57</x:v>
      </x:c>
      <x:c r="B288" s="145" t="str">
        <x:v>阶段六 面试冲刺与错题回收</x:v>
      </x:c>
      <x:c r="C288" s="145" t="n">
        <x:v>4</x:v>
      </x:c>
      <x:c r="D288" s="145" t="str">
        <x:v>长间隔复做</x:v>
      </x:c>
      <x:c r="E288" s="145" t="str">
        <x:v>进阶题</x:v>
      </x:c>
      <x:c r="F288" s="145" t="n">
        <x:v>19</x:v>
      </x:c>
      <x:c r="G288" s="145" t="n">
        <x:v>10</x:v>
      </x:c>
      <x:c r="H288" s="145" t="n">
        <x:v>77</x:v>
      </x:c>
      <x:c r="I288" s="151" t="str">
        <x:v>组合</x:v>
      </x:c>
      <x:c r="J288" s="151" t="str">
        <x:v>Combinations</x:v>
      </x:c>
      <x:c r="K288" s="145" t="str">
        <x:v>中等</x:v>
      </x:c>
      <x:c r="L288" s="145" t="str">
        <x:v>回溯</x:v>
      </x:c>
      <x:c r="M288" s="145" t="str">
        <x:v>回溯</x:v>
      </x:c>
      <x:c r="N288" s="165" t="str">
        <x:v>组合搜索与剪枝</x:v>
      </x:c>
      <x:c r="O288" s="165" t="str">
        <x:v>代码随想录补充</x:v>
      </x:c>
      <x:c r="P288" s="171" t="n">
        <x:v>12</x:v>
      </x:c>
      <x:c r="Q288" s="151" t="str">
        <x:v>严格限时独立完成，先说模式与不变量，再回答复杂度和替代方案</x:v>
      </x:c>
      <x:c r="R288" s="145" t="str">
        <x:v>未开始</x:v>
      </x:c>
      <x:c r="S288" s="145"/>
      <x:c r="T288" s="177"/>
      <x:c r="U288" s="145"/>
      <x:c r="V288" s="151"/>
      <x:c r="W288" s="112" t="str">
        <x:v>https://leetcode.com/problems/combinations/</x:v>
      </x:c>
    </x:row>
    <x:row r="289" ht="34" customHeight="1">
      <x:c r="A289" s="99" t="n">
        <x:v>57</x:v>
      </x:c>
      <x:c r="B289" s="145" t="str">
        <x:v>阶段六 面试冲刺与错题回收</x:v>
      </x:c>
      <x:c r="C289" s="145" t="n">
        <x:v>5</x:v>
      </x:c>
      <x:c r="D289" s="145" t="str">
        <x:v>长间隔复做</x:v>
      </x:c>
      <x:c r="E289" s="145" t="str">
        <x:v>错题回收</x:v>
      </x:c>
      <x:c r="F289" s="145" t="n">
        <x:v>20</x:v>
      </x:c>
      <x:c r="G289" s="145" t="n">
        <x:v>11</x:v>
      </x:c>
      <x:c r="H289" s="145" t="n">
        <x:v>347</x:v>
      </x:c>
      <x:c r="I289" s="151" t="str">
        <x:v>前K个高频元素</x:v>
      </x:c>
      <x:c r="J289" s="151" t="str">
        <x:v>Top K Frequent Elements</x:v>
      </x:c>
      <x:c r="K289" s="145" t="str">
        <x:v>中等</x:v>
      </x:c>
      <x:c r="L289" s="145" t="str">
        <x:v>堆与优先队列</x:v>
      </x:c>
      <x:c r="M289" s="145" t="str">
        <x:v>堆与优先队列</x:v>
      </x:c>
      <x:c r="N289" s="165" t="str">
        <x:v>频次统计与Top K</x:v>
      </x:c>
      <x:c r="O289" s="165" t="str">
        <x:v>代码随想录补充</x:v>
      </x:c>
      <x:c r="P289" s="171" t="n">
        <x:v>15</x:v>
      </x:c>
      <x:c r="Q289" s="151" t="str">
        <x:v>严格限时独立完成，先说模式与不变量，再回答复杂度和替代方案</x:v>
      </x:c>
      <x:c r="R289" s="145" t="str">
        <x:v>未开始</x:v>
      </x:c>
      <x:c r="S289" s="145"/>
      <x:c r="T289" s="177"/>
      <x:c r="U289" s="145"/>
      <x:c r="V289" s="151"/>
      <x:c r="W289" s="112" t="str">
        <x:v>https://leetcode.com/problems/top-k-frequent-elements/</x:v>
      </x:c>
    </x:row>
    <x:row r="290" ht="34" customHeight="1">
      <x:c r="A290" s="99" t="n">
        <x:v>58</x:v>
      </x:c>
      <x:c r="B290" s="145" t="str">
        <x:v>阶段六 面试冲刺与错题回收</x:v>
      </x:c>
      <x:c r="C290" s="145" t="n">
        <x:v>1</x:v>
      </x:c>
      <x:c r="D290" s="145" t="str">
        <x:v>长间隔复做</x:v>
      </x:c>
      <x:c r="E290" s="145" t="str">
        <x:v>热身题</x:v>
      </x:c>
      <x:c r="F290" s="145" t="n">
        <x:v>20</x:v>
      </x:c>
      <x:c r="G290" s="145" t="n">
        <x:v>10</x:v>
      </x:c>
      <x:c r="H290" s="145" t="n">
        <x:v>40</x:v>
      </x:c>
      <x:c r="I290" s="151" t="str">
        <x:v>组合总和II</x:v>
      </x:c>
      <x:c r="J290" s="151" t="str">
        <x:v>Combination Sum II</x:v>
      </x:c>
      <x:c r="K290" s="145" t="str">
        <x:v>中等</x:v>
      </x:c>
      <x:c r="L290" s="145" t="str">
        <x:v>回溯</x:v>
      </x:c>
      <x:c r="M290" s="145" t="str">
        <x:v>回溯</x:v>
      </x:c>
      <x:c r="N290" s="165" t="str">
        <x:v>树层去重</x:v>
      </x:c>
      <x:c r="O290" s="165" t="str">
        <x:v>代码随想录补充</x:v>
      </x:c>
      <x:c r="P290" s="171" t="n">
        <x:v>15</x:v>
      </x:c>
      <x:c r="Q290" s="151" t="str">
        <x:v>严格限时独立完成，先说模式与不变量，再回答复杂度和替代方案</x:v>
      </x:c>
      <x:c r="R290" s="145" t="str">
        <x:v>未开始</x:v>
      </x:c>
      <x:c r="S290" s="145"/>
      <x:c r="T290" s="177"/>
      <x:c r="U290" s="145"/>
      <x:c r="V290" s="151"/>
      <x:c r="W290" s="112" t="str">
        <x:v>https://leetcode.com/problems/combination-sum-ii/</x:v>
      </x:c>
    </x:row>
    <x:row r="291" ht="34" customHeight="1">
      <x:c r="A291" s="99" t="n">
        <x:v>58</x:v>
      </x:c>
      <x:c r="B291" s="145" t="str">
        <x:v>阶段六 面试冲刺与错题回收</x:v>
      </x:c>
      <x:c r="C291" s="145" t="n">
        <x:v>2</x:v>
      </x:c>
      <x:c r="D291" s="145" t="str">
        <x:v>长间隔复做</x:v>
      </x:c>
      <x:c r="E291" s="145" t="str">
        <x:v>模拟题一</x:v>
      </x:c>
      <x:c r="F291" s="145" t="n">
        <x:v>19</x:v>
      </x:c>
      <x:c r="G291" s="145" t="n">
        <x:v>9</x:v>
      </x:c>
      <x:c r="H291" s="145" t="n">
        <x:v>131</x:v>
      </x:c>
      <x:c r="I291" s="151" t="str">
        <x:v>分割回文串</x:v>
      </x:c>
      <x:c r="J291" s="151" t="str">
        <x:v>Palindrome Partitioning</x:v>
      </x:c>
      <x:c r="K291" s="145" t="str">
        <x:v>中等</x:v>
      </x:c>
      <x:c r="L291" s="145" t="str">
        <x:v>回溯</x:v>
      </x:c>
      <x:c r="M291" s="145" t="str">
        <x:v>回溯</x:v>
      </x:c>
      <x:c r="N291" s="165" t="str">
        <x:v>分割型回溯</x:v>
      </x:c>
      <x:c r="O291" s="165" t="str">
        <x:v>代码随想录补充</x:v>
      </x:c>
      <x:c r="P291" s="171" t="n">
        <x:v>15</x:v>
      </x:c>
      <x:c r="Q291" s="151" t="str">
        <x:v>严格限时独立完成，先说模式与不变量，再回答复杂度和替代方案</x:v>
      </x:c>
      <x:c r="R291" s="145" t="str">
        <x:v>未开始</x:v>
      </x:c>
      <x:c r="S291" s="145"/>
      <x:c r="T291" s="177"/>
      <x:c r="U291" s="145"/>
      <x:c r="V291" s="151"/>
      <x:c r="W291" s="112" t="str">
        <x:v>https://leetcode.com/problems/palindrome-partitioning/</x:v>
      </x:c>
    </x:row>
    <x:row r="292" ht="34" customHeight="1">
      <x:c r="A292" s="99" t="n">
        <x:v>58</x:v>
      </x:c>
      <x:c r="B292" s="145" t="str">
        <x:v>阶段六 面试冲刺与错题回收</x:v>
      </x:c>
      <x:c r="C292" s="145" t="n">
        <x:v>3</x:v>
      </x:c>
      <x:c r="D292" s="145" t="str">
        <x:v>长间隔复做</x:v>
      </x:c>
      <x:c r="E292" s="145" t="str">
        <x:v>模拟题二</x:v>
      </x:c>
      <x:c r="F292" s="145" t="n">
        <x:v>18</x:v>
      </x:c>
      <x:c r="G292" s="145" t="n">
        <x:v>10</x:v>
      </x:c>
      <x:c r="H292" s="145" t="n">
        <x:v>55</x:v>
      </x:c>
      <x:c r="I292" s="151" t="str">
        <x:v>跳跃游戏</x:v>
      </x:c>
      <x:c r="J292" s="151" t="str">
        <x:v>Jump Game</x:v>
      </x:c>
      <x:c r="K292" s="145" t="str">
        <x:v>中等</x:v>
      </x:c>
      <x:c r="L292" s="145" t="str">
        <x:v>贪心与区间</x:v>
      </x:c>
      <x:c r="M292" s="145" t="str">
        <x:v>贪心</x:v>
      </x:c>
      <x:c r="N292" s="165" t="str">
        <x:v>维护最远覆盖范围</x:v>
      </x:c>
      <x:c r="O292" s="165" t="str">
        <x:v>代码随想录补充</x:v>
      </x:c>
      <x:c r="P292" s="171" t="n">
        <x:v>12</x:v>
      </x:c>
      <x:c r="Q292" s="151" t="str">
        <x:v>严格限时独立完成，先说模式与不变量，再回答复杂度和替代方案</x:v>
      </x:c>
      <x:c r="R292" s="145" t="str">
        <x:v>未开始</x:v>
      </x:c>
      <x:c r="S292" s="145"/>
      <x:c r="T292" s="177"/>
      <x:c r="U292" s="145"/>
      <x:c r="V292" s="151"/>
      <x:c r="W292" s="112" t="str">
        <x:v>https://leetcode.com/problems/jump-game/</x:v>
      </x:c>
    </x:row>
    <x:row r="293" ht="34" customHeight="1">
      <x:c r="A293" s="99" t="n">
        <x:v>58</x:v>
      </x:c>
      <x:c r="B293" s="145" t="str">
        <x:v>阶段六 面试冲刺与错题回收</x:v>
      </x:c>
      <x:c r="C293" s="145" t="n">
        <x:v>4</x:v>
      </x:c>
      <x:c r="D293" s="145" t="str">
        <x:v>长间隔复做</x:v>
      </x:c>
      <x:c r="E293" s="145" t="str">
        <x:v>进阶题</x:v>
      </x:c>
      <x:c r="F293" s="145" t="n">
        <x:v>17</x:v>
      </x:c>
      <x:c r="G293" s="145" t="n">
        <x:v>9</x:v>
      </x:c>
      <x:c r="H293" s="145" t="n">
        <x:v>198</x:v>
      </x:c>
      <x:c r="I293" s="151" t="str">
        <x:v>打家劫舍</x:v>
      </x:c>
      <x:c r="J293" s="151" t="str">
        <x:v>House Robber</x:v>
      </x:c>
      <x:c r="K293" s="145" t="str">
        <x:v>中等</x:v>
      </x:c>
      <x:c r="L293" s="145" t="str">
        <x:v>动态规划</x:v>
      </x:c>
      <x:c r="M293" s="145" t="str">
        <x:v>动态规划</x:v>
      </x:c>
      <x:c r="N293" s="165" t="str">
        <x:v>相邻约束一维状态</x:v>
      </x:c>
      <x:c r="O293" s="165" t="str">
        <x:v>代码随想录补充</x:v>
      </x:c>
      <x:c r="P293" s="171" t="n">
        <x:v>12</x:v>
      </x:c>
      <x:c r="Q293" s="151" t="str">
        <x:v>严格限时独立完成，先说模式与不变量，再回答复杂度和替代方案</x:v>
      </x:c>
      <x:c r="R293" s="145" t="str">
        <x:v>未开始</x:v>
      </x:c>
      <x:c r="S293" s="145"/>
      <x:c r="T293" s="177"/>
      <x:c r="U293" s="145"/>
      <x:c r="V293" s="151"/>
      <x:c r="W293" s="112" t="str">
        <x:v>https://leetcode.com/problems/house-robber/</x:v>
      </x:c>
    </x:row>
    <x:row r="294" ht="34" customHeight="1">
      <x:c r="A294" s="99" t="n">
        <x:v>58</x:v>
      </x:c>
      <x:c r="B294" s="145" t="str">
        <x:v>阶段六 面试冲刺与错题回收</x:v>
      </x:c>
      <x:c r="C294" s="145" t="n">
        <x:v>5</x:v>
      </x:c>
      <x:c r="D294" s="145" t="str">
        <x:v>长间隔复做</x:v>
      </x:c>
      <x:c r="E294" s="145" t="str">
        <x:v>错题回收</x:v>
      </x:c>
      <x:c r="F294" s="145" t="n">
        <x:v>18</x:v>
      </x:c>
      <x:c r="G294" s="145" t="n">
        <x:v>10</x:v>
      </x:c>
      <x:c r="H294" s="145" t="n">
        <x:v>435</x:v>
      </x:c>
      <x:c r="I294" s="151" t="str">
        <x:v>无重叠区间</x:v>
      </x:c>
      <x:c r="J294" s="151" t="str">
        <x:v>Non overlapping Intervals</x:v>
      </x:c>
      <x:c r="K294" s="145" t="str">
        <x:v>中等</x:v>
      </x:c>
      <x:c r="L294" s="145" t="str">
        <x:v>贪心与区间</x:v>
      </x:c>
      <x:c r="M294" s="145" t="str">
        <x:v>区间与贪心</x:v>
      </x:c>
      <x:c r="N294" s="165" t="str">
        <x:v>按结束点调度</x:v>
      </x:c>
      <x:c r="O294" s="165" t="str">
        <x:v>代码随想录补充</x:v>
      </x:c>
      <x:c r="P294" s="171" t="n">
        <x:v>15</x:v>
      </x:c>
      <x:c r="Q294" s="151" t="str">
        <x:v>严格限时独立完成，先说模式与不变量，再回答复杂度和替代方案</x:v>
      </x:c>
      <x:c r="R294" s="145" t="str">
        <x:v>未开始</x:v>
      </x:c>
      <x:c r="S294" s="145"/>
      <x:c r="T294" s="177"/>
      <x:c r="U294" s="145"/>
      <x:c r="V294" s="151"/>
      <x:c r="W294" s="112" t="str">
        <x:v>https://leetcode.com/problems/non-overlapping-intervals/</x:v>
      </x:c>
    </x:row>
    <x:row r="295" ht="34" customHeight="1">
      <x:c r="A295" s="99" t="n">
        <x:v>59</x:v>
      </x:c>
      <x:c r="B295" s="145" t="str">
        <x:v>阶段六 面试冲刺与错题回收</x:v>
      </x:c>
      <x:c r="C295" s="145" t="n">
        <x:v>1</x:v>
      </x:c>
      <x:c r="D295" s="145" t="str">
        <x:v>长间隔复做</x:v>
      </x:c>
      <x:c r="E295" s="145" t="str">
        <x:v>热身题</x:v>
      </x:c>
      <x:c r="F295" s="145" t="n">
        <x:v>20</x:v>
      </x:c>
      <x:c r="G295" s="145" t="n">
        <x:v>10</x:v>
      </x:c>
      <x:c r="H295" s="145" t="n">
        <x:v>47</x:v>
      </x:c>
      <x:c r="I295" s="151" t="str">
        <x:v>全排列II</x:v>
      </x:c>
      <x:c r="J295" s="151" t="str">
        <x:v>Permutations II</x:v>
      </x:c>
      <x:c r="K295" s="145" t="str">
        <x:v>中等</x:v>
      </x:c>
      <x:c r="L295" s="145" t="str">
        <x:v>回溯</x:v>
      </x:c>
      <x:c r="M295" s="145" t="str">
        <x:v>回溯</x:v>
      </x:c>
      <x:c r="N295" s="165" t="str">
        <x:v>排列去重</x:v>
      </x:c>
      <x:c r="O295" s="165" t="str">
        <x:v>代码随想录补充</x:v>
      </x:c>
      <x:c r="P295" s="171" t="n">
        <x:v>15</x:v>
      </x:c>
      <x:c r="Q295" s="151" t="str">
        <x:v>严格限时独立完成，先说模式与不变量，再回答复杂度和替代方案</x:v>
      </x:c>
      <x:c r="R295" s="145" t="str">
        <x:v>未开始</x:v>
      </x:c>
      <x:c r="S295" s="145"/>
      <x:c r="T295" s="177"/>
      <x:c r="U295" s="145"/>
      <x:c r="V295" s="151"/>
      <x:c r="W295" s="112" t="str">
        <x:v>https://leetcode.com/problems/permutations-ii/</x:v>
      </x:c>
    </x:row>
    <x:row r="296" ht="34" customHeight="1">
      <x:c r="A296" s="99" t="n">
        <x:v>59</x:v>
      </x:c>
      <x:c r="B296" s="145" t="str">
        <x:v>阶段六 面试冲刺与错题回收</x:v>
      </x:c>
      <x:c r="C296" s="145" t="n">
        <x:v>2</x:v>
      </x:c>
      <x:c r="D296" s="145" t="str">
        <x:v>长间隔复做</x:v>
      </x:c>
      <x:c r="E296" s="145" t="str">
        <x:v>模拟题一</x:v>
      </x:c>
      <x:c r="F296" s="145" t="n">
        <x:v>18</x:v>
      </x:c>
      <x:c r="G296" s="145" t="n">
        <x:v>10</x:v>
      </x:c>
      <x:c r="H296" s="145" t="n">
        <x:v>452</x:v>
      </x:c>
      <x:c r="I296" s="151" t="str">
        <x:v>用最少数量的箭引爆气球</x:v>
      </x:c>
      <x:c r="J296" s="151" t="str">
        <x:v>Minimum Number of Arrows to Burst Balloons</x:v>
      </x:c>
      <x:c r="K296" s="145" t="str">
        <x:v>中等</x:v>
      </x:c>
      <x:c r="L296" s="145" t="str">
        <x:v>贪心与区间</x:v>
      </x:c>
      <x:c r="M296" s="145" t="str">
        <x:v>区间与贪心</x:v>
      </x:c>
      <x:c r="N296" s="165" t="str">
        <x:v>区间交集</x:v>
      </x:c>
      <x:c r="O296" s="165" t="str">
        <x:v>代码随想录补充</x:v>
      </x:c>
      <x:c r="P296" s="171" t="n">
        <x:v>15</x:v>
      </x:c>
      <x:c r="Q296" s="151" t="str">
        <x:v>严格限时独立完成，先说模式与不变量，再回答复杂度和替代方案</x:v>
      </x:c>
      <x:c r="R296" s="145" t="str">
        <x:v>未开始</x:v>
      </x:c>
      <x:c r="S296" s="145"/>
      <x:c r="T296" s="177"/>
      <x:c r="U296" s="145"/>
      <x:c r="V296" s="151"/>
      <x:c r="W296" s="112" t="str">
        <x:v>https://leetcode.com/problems/minimum-number-of-arrows-to-burst-balloons/</x:v>
      </x:c>
    </x:row>
    <x:row r="297" ht="34" customHeight="1">
      <x:c r="A297" s="99" t="n">
        <x:v>59</x:v>
      </x:c>
      <x:c r="B297" s="145" t="str">
        <x:v>阶段六 面试冲刺与错题回收</x:v>
      </x:c>
      <x:c r="C297" s="145" t="n">
        <x:v>3</x:v>
      </x:c>
      <x:c r="D297" s="145" t="str">
        <x:v>长间隔复做</x:v>
      </x:c>
      <x:c r="E297" s="145" t="str">
        <x:v>模拟题二</x:v>
      </x:c>
      <x:c r="F297" s="145" t="n">
        <x:v>17</x:v>
      </x:c>
      <x:c r="G297" s="145" t="n">
        <x:v>9</x:v>
      </x:c>
      <x:c r="H297" s="145" t="n">
        <x:v>300</x:v>
      </x:c>
      <x:c r="I297" s="151" t="str">
        <x:v>最长递增子序列</x:v>
      </x:c>
      <x:c r="J297" s="151" t="str">
        <x:v>Longest Increasing Subsequence</x:v>
      </x:c>
      <x:c r="K297" s="145" t="str">
        <x:v>中等</x:v>
      </x:c>
      <x:c r="L297" s="145" t="str">
        <x:v>动态规划</x:v>
      </x:c>
      <x:c r="M297" s="145" t="str">
        <x:v>动态规划</x:v>
      </x:c>
      <x:c r="N297" s="165" t="str">
        <x:v>序列状态或耐心排序</x:v>
      </x:c>
      <x:c r="O297" s="165" t="str">
        <x:v>代码随想录补充</x:v>
      </x:c>
      <x:c r="P297" s="171" t="n">
        <x:v>15</x:v>
      </x:c>
      <x:c r="Q297" s="151" t="str">
        <x:v>严格限时独立完成，先说模式与不变量，再回答复杂度和替代方案</x:v>
      </x:c>
      <x:c r="R297" s="145" t="str">
        <x:v>未开始</x:v>
      </x:c>
      <x:c r="S297" s="145"/>
      <x:c r="T297" s="177"/>
      <x:c r="U297" s="145"/>
      <x:c r="V297" s="151"/>
      <x:c r="W297" s="112" t="str">
        <x:v>https://leetcode.com/problems/longest-increasing-subsequence/</x:v>
      </x:c>
    </x:row>
    <x:row r="298" ht="34" customHeight="1">
      <x:c r="A298" s="99" t="n">
        <x:v>59</x:v>
      </x:c>
      <x:c r="B298" s="145" t="str">
        <x:v>阶段六 面试冲刺与错题回收</x:v>
      </x:c>
      <x:c r="C298" s="145" t="n">
        <x:v>4</x:v>
      </x:c>
      <x:c r="D298" s="145" t="str">
        <x:v>长间隔复做</x:v>
      </x:c>
      <x:c r="E298" s="145" t="str">
        <x:v>进阶题</x:v>
      </x:c>
      <x:c r="F298" s="145" t="n">
        <x:v>16</x:v>
      </x:c>
      <x:c r="G298" s="145" t="n">
        <x:v>9</x:v>
      </x:c>
      <x:c r="H298" s="145" t="n">
        <x:v>739</x:v>
      </x:c>
      <x:c r="I298" s="151" t="str">
        <x:v>每日温度</x:v>
      </x:c>
      <x:c r="J298" s="151" t="str">
        <x:v>Daily Temperatures</x:v>
      </x:c>
      <x:c r="K298" s="145" t="str">
        <x:v>中等</x:v>
      </x:c>
      <x:c r="L298" s="145" t="str">
        <x:v>单调栈</x:v>
      </x:c>
      <x:c r="M298" s="145" t="str">
        <x:v>单调栈</x:v>
      </x:c>
      <x:c r="N298" s="165" t="str">
        <x:v>下一个更大元素</x:v>
      </x:c>
      <x:c r="O298" s="165" t="str">
        <x:v>代码随想录补充</x:v>
      </x:c>
      <x:c r="P298" s="171" t="n">
        <x:v>12</x:v>
      </x:c>
      <x:c r="Q298" s="151" t="str">
        <x:v>严格限时独立完成，先说模式与不变量，再回答复杂度和替代方案</x:v>
      </x:c>
      <x:c r="R298" s="145" t="str">
        <x:v>未开始</x:v>
      </x:c>
      <x:c r="S298" s="145"/>
      <x:c r="T298" s="177"/>
      <x:c r="U298" s="145"/>
      <x:c r="V298" s="151"/>
      <x:c r="W298" s="112" t="str">
        <x:v>https://leetcode.com/problems/daily-temperatures/</x:v>
      </x:c>
    </x:row>
    <x:row r="299" ht="34" customHeight="1">
      <x:c r="A299" s="99" t="n">
        <x:v>59</x:v>
      </x:c>
      <x:c r="B299" s="145" t="str">
        <x:v>阶段六 面试冲刺与错题回收</x:v>
      </x:c>
      <x:c r="C299" s="145" t="n">
        <x:v>5</x:v>
      </x:c>
      <x:c r="D299" s="145" t="str">
        <x:v>长间隔复做</x:v>
      </x:c>
      <x:c r="E299" s="145" t="str">
        <x:v>错题回收</x:v>
      </x:c>
      <x:c r="F299" s="145" t="n">
        <x:v>17</x:v>
      </x:c>
      <x:c r="G299" s="145" t="n">
        <x:v>8</x:v>
      </x:c>
      <x:c r="H299" s="145" t="n">
        <x:v>1143</x:v>
      </x:c>
      <x:c r="I299" s="151" t="str">
        <x:v>最长公共子序列</x:v>
      </x:c>
      <x:c r="J299" s="151" t="str">
        <x:v>Longest Common Subsequence</x:v>
      </x:c>
      <x:c r="K299" s="145" t="str">
        <x:v>中等</x:v>
      </x:c>
      <x:c r="L299" s="145" t="str">
        <x:v>动态规划</x:v>
      </x:c>
      <x:c r="M299" s="145" t="str">
        <x:v>动态规划</x:v>
      </x:c>
      <x:c r="N299" s="165" t="str">
        <x:v>双序列状态转移</x:v>
      </x:c>
      <x:c r="O299" s="165" t="str">
        <x:v>代码随想录补充</x:v>
      </x:c>
      <x:c r="P299" s="171" t="n">
        <x:v>15</x:v>
      </x:c>
      <x:c r="Q299" s="151" t="str">
        <x:v>严格限时独立完成，先说模式与不变量，再回答复杂度和替代方案</x:v>
      </x:c>
      <x:c r="R299" s="145" t="str">
        <x:v>未开始</x:v>
      </x:c>
      <x:c r="S299" s="145"/>
      <x:c r="T299" s="177"/>
      <x:c r="U299" s="145"/>
      <x:c r="V299" s="151"/>
      <x:c r="W299" s="112" t="str">
        <x:v>https://leetcode.com/problems/longest-common-subsequence/</x:v>
      </x:c>
    </x:row>
    <x:row r="300" ht="34" customHeight="1">
      <x:c r="A300" s="99" t="n">
        <x:v>60</x:v>
      </x:c>
      <x:c r="B300" s="145" t="str">
        <x:v>阶段六 面试冲刺与错题回收</x:v>
      </x:c>
      <x:c r="C300" s="145" t="n">
        <x:v>1</x:v>
      </x:c>
      <x:c r="D300" s="145" t="str">
        <x:v>长间隔复做</x:v>
      </x:c>
      <x:c r="E300" s="145" t="str">
        <x:v>热身题</x:v>
      </x:c>
      <x:c r="F300" s="145" t="n">
        <x:v>16</x:v>
      </x:c>
      <x:c r="G300" s="145" t="n">
        <x:v>8</x:v>
      </x:c>
      <x:c r="H300" s="145" t="n">
        <x:v>136</x:v>
      </x:c>
      <x:c r="I300" s="151" t="str">
        <x:v>只出现一次的数字</x:v>
      </x:c>
      <x:c r="J300" s="151" t="str">
        <x:v>Single Number</x:v>
      </x:c>
      <x:c r="K300" s="145" t="str">
        <x:v>简单</x:v>
      </x:c>
      <x:c r="L300" s="145" t="str">
        <x:v>位运算</x:v>
      </x:c>
      <x:c r="M300" s="145" t="str">
        <x:v>位运算</x:v>
      </x:c>
      <x:c r="N300" s="165" t="str">
        <x:v>异或消除成对元素</x:v>
      </x:c>
      <x:c r="O300" s="165" t="str">
        <x:v>Grind 169扩展</x:v>
      </x:c>
      <x:c r="P300" s="171" t="n">
        <x:v>10</x:v>
      </x:c>
      <x:c r="Q300" s="151" t="str">
        <x:v>严格限时独立完成，先说模式与不变量，再回答复杂度和替代方案</x:v>
      </x:c>
      <x:c r="R300" s="145" t="str">
        <x:v>未开始</x:v>
      </x:c>
      <x:c r="S300" s="145"/>
      <x:c r="T300" s="177"/>
      <x:c r="U300" s="145"/>
      <x:c r="V300" s="151"/>
      <x:c r="W300" s="112" t="str">
        <x:v>https://leetcode.com/problems/single-number/</x:v>
      </x:c>
    </x:row>
    <x:row r="301" ht="34" customHeight="1">
      <x:c r="A301" s="99" t="n">
        <x:v>60</x:v>
      </x:c>
      <x:c r="B301" s="145" t="str">
        <x:v>阶段六 面试冲刺与错题回收</x:v>
      </x:c>
      <x:c r="C301" s="145" t="n">
        <x:v>2</x:v>
      </x:c>
      <x:c r="D301" s="145" t="str">
        <x:v>长间隔复做</x:v>
      </x:c>
      <x:c r="E301" s="145" t="str">
        <x:v>模拟题一</x:v>
      </x:c>
      <x:c r="F301" s="145" t="n">
        <x:v>16</x:v>
      </x:c>
      <x:c r="G301" s="145" t="n">
        <x:v>8</x:v>
      </x:c>
      <x:c r="H301" s="145" t="n">
        <x:v>338</x:v>
      </x:c>
      <x:c r="I301" s="151" t="str">
        <x:v>比特位计数</x:v>
      </x:c>
      <x:c r="J301" s="151" t="str">
        <x:v>Counting Bits</x:v>
      </x:c>
      <x:c r="K301" s="145" t="str">
        <x:v>简单</x:v>
      </x:c>
      <x:c r="L301" s="145" t="str">
        <x:v>动态规划</x:v>
      </x:c>
      <x:c r="M301" s="145" t="str">
        <x:v>位运算与动态规划</x:v>
      </x:c>
      <x:c r="N301" s="165" t="str">
        <x:v>最低位递推</x:v>
      </x:c>
      <x:c r="O301" s="165" t="str">
        <x:v>Grind 169扩展</x:v>
      </x:c>
      <x:c r="P301" s="171" t="n">
        <x:v>10</x:v>
      </x:c>
      <x:c r="Q301" s="151" t="str">
        <x:v>严格限时独立完成，先说模式与不变量，再回答复杂度和替代方案</x:v>
      </x:c>
      <x:c r="R301" s="145" t="str">
        <x:v>未开始</x:v>
      </x:c>
      <x:c r="S301" s="145"/>
      <x:c r="T301" s="177"/>
      <x:c r="U301" s="145"/>
      <x:c r="V301" s="151"/>
      <x:c r="W301" s="112" t="str">
        <x:v>https://leetcode.com/problems/counting-bits/</x:v>
      </x:c>
    </x:row>
    <x:row r="302" ht="34" customHeight="1">
      <x:c r="A302" s="99" t="n">
        <x:v>60</x:v>
      </x:c>
      <x:c r="B302" s="145" t="str">
        <x:v>阶段六 面试冲刺与错题回收</x:v>
      </x:c>
      <x:c r="C302" s="145" t="n">
        <x:v>3</x:v>
      </x:c>
      <x:c r="D302" s="145" t="str">
        <x:v>长间隔复做</x:v>
      </x:c>
      <x:c r="E302" s="145" t="str">
        <x:v>模拟题二</x:v>
      </x:c>
      <x:c r="F302" s="145" t="n">
        <x:v>17</x:v>
      </x:c>
      <x:c r="G302" s="145" t="n">
        <x:v>8</x:v>
      </x:c>
      <x:c r="H302" s="145" t="n">
        <x:v>72</x:v>
      </x:c>
      <x:c r="I302" s="151" t="str">
        <x:v>编辑距离</x:v>
      </x:c>
      <x:c r="J302" s="151" t="str">
        <x:v>Edit Distance</x:v>
      </x:c>
      <x:c r="K302" s="145" t="str">
        <x:v>中等</x:v>
      </x:c>
      <x:c r="L302" s="145" t="str">
        <x:v>动态规划</x:v>
      </x:c>
      <x:c r="M302" s="145" t="str">
        <x:v>动态规划</x:v>
      </x:c>
      <x:c r="N302" s="165" t="str">
        <x:v>增删改二维状态</x:v>
      </x:c>
      <x:c r="O302" s="165" t="str">
        <x:v>代码随想录补充</x:v>
      </x:c>
      <x:c r="P302" s="171" t="n">
        <x:v>18</x:v>
      </x:c>
      <x:c r="Q302" s="151" t="str">
        <x:v>严格限时独立完成，先说模式与不变量，再回答复杂度和替代方案</x:v>
      </x:c>
      <x:c r="R302" s="145" t="str">
        <x:v>未开始</x:v>
      </x:c>
      <x:c r="S302" s="145"/>
      <x:c r="T302" s="177"/>
      <x:c r="U302" s="145"/>
      <x:c r="V302" s="151"/>
      <x:c r="W302" s="112" t="str">
        <x:v>https://leetcode.com/problems/edit-distance/</x:v>
      </x:c>
    </x:row>
    <x:row r="303" ht="34" customHeight="1">
      <x:c r="A303" s="99" t="n">
        <x:v>60</x:v>
      </x:c>
      <x:c r="B303" s="145" t="str">
        <x:v>阶段六 面试冲刺与错题回收</x:v>
      </x:c>
      <x:c r="C303" s="145" t="n">
        <x:v>4</x:v>
      </x:c>
      <x:c r="D303" s="145" t="str">
        <x:v>长间隔复做</x:v>
      </x:c>
      <x:c r="E303" s="145" t="str">
        <x:v>进阶题</x:v>
      </x:c>
      <x:c r="F303" s="145" t="n">
        <x:v>15</x:v>
      </x:c>
      <x:c r="G303" s="145" t="n">
        <x:v>7</x:v>
      </x:c>
      <x:c r="H303" s="145" t="n">
        <x:v>210</x:v>
      </x:c>
      <x:c r="I303" s="151" t="str">
        <x:v>课程表II</x:v>
      </x:c>
      <x:c r="J303" s="151" t="str">
        <x:v>Course Schedule II</x:v>
      </x:c>
      <x:c r="K303" s="145" t="str">
        <x:v>中等</x:v>
      </x:c>
      <x:c r="L303" s="145" t="str">
        <x:v>图与并查集</x:v>
      </x:c>
      <x:c r="M303" s="145" t="str">
        <x:v>图论</x:v>
      </x:c>
      <x:c r="N303" s="165" t="str">
        <x:v>拓扑排序输出路径</x:v>
      </x:c>
      <x:c r="O303" s="165" t="str">
        <x:v>Grind 169扩展</x:v>
      </x:c>
      <x:c r="P303" s="171" t="n">
        <x:v>18</x:v>
      </x:c>
      <x:c r="Q303" s="151" t="str">
        <x:v>严格限时独立完成，先说模式与不变量，再回答复杂度和替代方案</x:v>
      </x:c>
      <x:c r="R303" s="145" t="str">
        <x:v>未开始</x:v>
      </x:c>
      <x:c r="S303" s="145"/>
      <x:c r="T303" s="177"/>
      <x:c r="U303" s="145"/>
      <x:c r="V303" s="151"/>
      <x:c r="W303" s="112" t="str">
        <x:v>https://leetcode.com/problems/course-schedule-ii/</x:v>
      </x:c>
    </x:row>
    <x:row r="304" ht="34" customHeight="1">
      <x:c r="A304" s="100" t="n">
        <x:v>60</x:v>
      </x:c>
      <x:c r="B304" s="146" t="str">
        <x:v>阶段六 面试冲刺与错题回收</x:v>
      </x:c>
      <x:c r="C304" s="146" t="n">
        <x:v>5</x:v>
      </x:c>
      <x:c r="D304" s="146" t="str">
        <x:v>长间隔复做</x:v>
      </x:c>
      <x:c r="E304" s="146" t="str">
        <x:v>错题回收</x:v>
      </x:c>
      <x:c r="F304" s="146" t="n">
        <x:v>15</x:v>
      </x:c>
      <x:c r="G304" s="146" t="n">
        <x:v>7</x:v>
      </x:c>
      <x:c r="H304" s="146" t="n">
        <x:v>684</x:v>
      </x:c>
      <x:c r="I304" s="152" t="str">
        <x:v>冗余连接</x:v>
      </x:c>
      <x:c r="J304" s="152" t="str">
        <x:v>Redundant Connection</x:v>
      </x:c>
      <x:c r="K304" s="146" t="str">
        <x:v>中等</x:v>
      </x:c>
      <x:c r="L304" s="146" t="str">
        <x:v>图与并查集</x:v>
      </x:c>
      <x:c r="M304" s="146" t="str">
        <x:v>图论</x:v>
      </x:c>
      <x:c r="N304" s="166" t="str">
        <x:v>并查集检测成环</x:v>
      </x:c>
      <x:c r="O304" s="166" t="str">
        <x:v>代码随想录图论扩展</x:v>
      </x:c>
      <x:c r="P304" s="172" t="n">
        <x:v>15</x:v>
      </x:c>
      <x:c r="Q304" s="152" t="str">
        <x:v>严格限时独立完成，先说模式与不变量，再回答复杂度和替代方案</x:v>
      </x:c>
      <x:c r="R304" s="146" t="str">
        <x:v>未开始</x:v>
      </x:c>
      <x:c r="S304" s="146"/>
      <x:c r="T304" s="178"/>
      <x:c r="U304" s="146"/>
      <x:c r="V304" s="152"/>
      <x:c r="W304" s="113" t="str">
        <x:v>https://leetcode.com/problems/redundant-connection/</x:v>
      </x:c>
    </x:row>
  </x:sheetData>
  <x:mergeCells>
    <x:mergeCell ref="A1:W1"/>
    <x:mergeCell ref="A2:W2"/>
  </x:mergeCells>
  <x:conditionalFormatting sqref="D5:D304">
    <x:cfRule type="expression" dxfId="0" priority="1">
      <x:formula>D5="新题"</x:formula>
    </x:cfRule>
    <x:cfRule type="expression" dxfId="1" priority="2">
      <x:formula>D5="短间隔复做"</x:formula>
    </x:cfRule>
    <x:cfRule type="expression" dxfId="2" priority="3">
      <x:formula>D5="长间隔复做"</x:formula>
    </x:cfRule>
  </x:conditionalFormatting>
  <x:conditionalFormatting sqref="K5:K304">
    <x:cfRule type="expression" dxfId="3" priority="4">
      <x:formula>K5="简单"</x:formula>
    </x:cfRule>
    <x:cfRule type="expression" dxfId="4" priority="5">
      <x:formula>K5="中等"</x:formula>
    </x:cfRule>
    <x:cfRule type="expression" dxfId="5" priority="6">
      <x:formula>K5="困难"</x:formula>
    </x:cfRule>
  </x:conditionalFormatting>
  <x:conditionalFormatting sqref="R5:R304">
    <x:cfRule type="expression" dxfId="6" priority="7">
      <x:formula>R5="已完成"</x:formula>
    </x:cfRule>
    <x:cfRule type="expression" dxfId="7" priority="8">
      <x:formula>R5="进行中"</x:formula>
    </x:cfRule>
    <x:cfRule type="expression" dxfId="8" priority="9">
      <x:formula>R5="延期"</x:formula>
    </x:cfRule>
  </x:conditionalFormatting>
  <x:conditionalFormatting sqref="S5:S304">
    <x:cfRule type="cellIs" dxfId="9" priority="10" operator="lessThanOrEqual">
      <x:formula>1</x:formula>
    </x:cfRule>
    <x:cfRule type="cellIs" dxfId="10" priority="11" operator="equal">
      <x:formula>2</x:formula>
    </x:cfRule>
    <x:cfRule type="cellIs" dxfId="11" priority="12" operator="equal">
      <x:formula>3</x:formula>
    </x:cfRule>
  </x:conditionalFormatting>
  <x:conditionalFormatting sqref="T5:T304">
    <x:cfRule type="expression" dxfId="12" priority="13">
      <x:formula>AND(T5&lt;&gt;"",T5&gt;P5)</x:formula>
    </x:cfRule>
  </x:conditionalFormatting>
  <x:dataValidations count="3">
    <x:dataValidation type="list" sqref="R5:R304">
      <x:formula1>"未开始,进行中,已完成,延期"</x:formula1>
    </x:dataValidation>
    <x:dataValidation type="list" sqref="S5:S304">
      <x:formula1>"0,1,2,3"</x:formula1>
    </x:dataValidation>
    <x:dataValidation type="list" sqref="U5:U304">
      <x:formula1>"无,读题,模式识别,边界,复杂度,实现,数据结构接口,调试,超时"</x:formula1>
    </x:dataValidation>
  </x:dataValidations>
  <x:pageMargins left="0.7" right="0.7" top="0.75" bottom="0.75" header="0.3" footer="0.3"/>
  <x:tableParts count="1">
    <x:tablePart xmlns:r="http://schemas.openxmlformats.org/officeDocument/2006/relationships" r:id="R2366f05a1a124e2b"/>
  </x:tableParts>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9" hidden="0" customWidth="1"/>
    <x:col min="4" max="4" width="9" hidden="0" customWidth="1"/>
    <x:col min="5" max="5" width="10" hidden="0" customWidth="1"/>
    <x:col min="6" max="6" width="12" hidden="0" customWidth="1"/>
    <x:col min="7" max="7" width="11" hidden="0" customWidth="1"/>
    <x:col min="8" max="8" width="11" hidden="0" customWidth="1"/>
    <x:col min="9" max="9" width="13" hidden="0" customWidth="1"/>
    <x:col min="10" max="10" width="12" hidden="0" customWidth="1"/>
    <x:col min="11" max="11" width="44" hidden="0" customWidth="1"/>
    <x:col min="12" max="12" width="36" hidden="0" customWidth="1"/>
    <x:col min="13" max="13" width="3"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s>
  <x:sheetData>
    <x:row r="1" ht="36" customHeight="1">
      <x:c r="A1" s="5" t="str">
        <x:v>每日进度总览</x:v>
      </x:c>
      <x:c r="B1" s="5"/>
      <x:c r="C1" s="5"/>
      <x:c r="D1" s="5"/>
      <x:c r="E1" s="5"/>
      <x:c r="F1" s="5"/>
      <x:c r="G1" s="5"/>
      <x:c r="H1" s="5"/>
      <x:c r="I1" s="5"/>
      <x:c r="J1" s="5"/>
      <x:c r="K1" s="5"/>
      <x:c r="L1" s="5"/>
      <x:c r="M1" s="5"/>
      <x:c r="N1" s="5"/>
      <x:c r="O1" s="5"/>
      <x:c r="P1" s="5"/>
      <x:c r="Q1" s="5"/>
      <x:c r="R1" s="5"/>
      <x:c r="S1" s="5"/>
      <x:c r="T1" s="5"/>
      <x:c r="U1" s="5"/>
      <x:c r="V1" s="5"/>
      <x:c r="W1" s="5"/>
    </x:row>
    <x:row r="2" ht="24" customHeight="1">
      <x:c r="A2" s="13" t="str">
        <x:v>完成情况会根据路线图中的状态、得分和实际用时自动汇总。</x:v>
      </x:c>
      <x:c r="B2" s="13"/>
      <x:c r="C2" s="13"/>
      <x:c r="D2" s="13"/>
      <x:c r="E2" s="13"/>
      <x:c r="F2" s="13"/>
      <x:c r="G2" s="13"/>
      <x:c r="H2" s="13"/>
      <x:c r="I2" s="13"/>
      <x:c r="J2" s="13"/>
      <x:c r="K2" s="13"/>
      <x:c r="L2" s="13"/>
      <x:c r="M2" s="13"/>
      <x:c r="N2" s="13"/>
      <x:c r="O2" s="13"/>
      <x:c r="P2" s="13"/>
      <x:c r="Q2" s="13"/>
      <x:c r="R2" s="13"/>
      <x:c r="S2" s="13"/>
      <x:c r="T2" s="13"/>
      <x:c r="U2" s="13"/>
      <x:c r="V2" s="13"/>
      <x:c r="W2" s="13"/>
    </x:row>
    <x:row r="4" ht="30" customHeight="1">
      <x:c r="A4" s="184" t="str">
        <x:v>计划任务</x:v>
      </x:c>
      <x:c r="B4" s="190" t="n">
        <x:v>300</x:v>
      </x:c>
      <x:c r="C4" s="184" t="str">
        <x:v>已完成</x:v>
      </x:c>
      <x:c r="D4" s="190" t="n">
        <x:f>COUNTIF('60天路线图'!$R$5:$R$304,"已完成")</x:f>
        <x:v>0</x:v>
      </x:c>
      <x:c r="E4" s="184" t="str">
        <x:v>总体完成率</x:v>
      </x:c>
      <x:c r="F4" s="194" t="n">
        <x:f>IFERROR(D4/B4,0)</x:f>
        <x:v>0</x:v>
      </x:c>
      <x:c r="G4" s="184" t="str">
        <x:v>已完成新题</x:v>
      </x:c>
      <x:c r="H4" s="190" t="n">
        <x:f>COUNTIFS('60天路线图'!$D$5:$D$304,"新题",'60天路线图'!$R$5:$R$304,"已完成")</x:f>
        <x:v>0</x:v>
      </x:c>
      <x:c r="I4" s="184" t="str">
        <x:v>已完成复做</x:v>
      </x:c>
      <x:c r="J4" s="190" t="n">
        <x:f>COUNTIFS('60天路线图'!$D$5:$D$304,"&lt;&gt;新题",'60天路线图'!$R$5:$R$304,"已完成")</x:f>
        <x:v>0</x:v>
      </x:c>
      <x:c r="K4" s="184" t="str">
        <x:v>平均独立分</x:v>
      </x:c>
      <x:c r="L4" s="196" t="n">
        <x:f>IFERROR(AVERAGE('60天路线图'!$S$5:$S$304),0)</x:f>
        <x:v>0</x:v>
      </x:c>
    </x:row>
    <x:row r="6" ht="34" customHeight="1">
      <x:c r="A6" s="128" t="str">
        <x:v>天数</x:v>
      </x:c>
      <x:c r="B6" s="129" t="str">
        <x:v>阶段</x:v>
      </x:c>
      <x:c r="C6" s="129" t="str">
        <x:v>新题数</x:v>
      </x:c>
      <x:c r="D6" s="129" t="str">
        <x:v>复做数</x:v>
      </x:c>
      <x:c r="E6" s="129" t="str">
        <x:v>计划题数</x:v>
      </x:c>
      <x:c r="F6" s="129" t="str">
        <x:v>计划限时</x:v>
      </x:c>
      <x:c r="G6" s="129" t="str">
        <x:v>已完成数</x:v>
      </x:c>
      <x:c r="H6" s="129" t="str">
        <x:v>完成率</x:v>
      </x:c>
      <x:c r="I6" s="129" t="str">
        <x:v>平均独立分</x:v>
      </x:c>
      <x:c r="J6" s="129" t="str">
        <x:v>实际用时</x:v>
      </x:c>
      <x:c r="K6" s="129" t="str">
        <x:v>当日重点</x:v>
      </x:c>
      <x:c r="L6" s="130" t="str">
        <x:v>当日复盘</x:v>
      </x:c>
    </x:row>
    <x:row r="7" ht="32" customHeight="1">
      <x:c r="A7" s="98" t="n">
        <x:v>1</x:v>
      </x:c>
      <x:c r="B7" s="144" t="str">
        <x:v>阶段一 基础模式与语言热身</x:v>
      </x:c>
      <x:c r="C7" s="144" t="n">
        <x:v>5</x:v>
      </x:c>
      <x:c r="D7" s="144" t="n">
        <x:v>0</x:v>
      </x:c>
      <x:c r="E7" s="144" t="n">
        <x:v>5</x:v>
      </x:c>
      <x:c r="F7" s="176" t="n">
        <x:v>90</x:v>
      </x:c>
      <x:c r="G7" s="144" t="n">
        <x:f>COUNTIFS('60天路线图'!$A$5:$A$304,A7,'60天路线图'!$R$5:$R$304,"已完成")</x:f>
        <x:v>0</x:v>
      </x:c>
      <x:c r="H7" s="198" t="n">
        <x:f>IFERROR(G7/E7,0)</x:f>
        <x:v>0</x:v>
      </x:c>
      <x:c r="I7" s="204" t="n">
        <x:f>IFERROR(SUMIFS('60天路线图'!$S$5:$S$304,'60天路线图'!$A$5:$A$304,A7)/COUNTIFS('60天路线图'!$A$5:$A$304,A7,'60天路线图'!$S$5:$S$304,"&lt;&gt;"),0)</x:f>
        <x:v>0</x:v>
      </x:c>
      <x:c r="J7" s="176" t="n">
        <x:f>SUMIFS('60天路线图'!$T$5:$T$304,'60天路线图'!$A$5:$A$304,A7)</x:f>
        <x:v>0</x:v>
      </x:c>
      <x:c r="K7" s="150" t="str">
        <x:v>数组与哈希、栈与队列、链表、数组与贪心、字符串与双指针</x:v>
      </x:c>
      <x:c r="L7" s="110"/>
    </x:row>
    <x:row r="8" ht="32" customHeight="1">
      <x:c r="A8" s="99" t="n">
        <x:v>2</x:v>
      </x:c>
      <x:c r="B8" s="145" t="str">
        <x:v>阶段一 基础模式与语言热身</x:v>
      </x:c>
      <x:c r="C8" s="145" t="n">
        <x:v>3</x:v>
      </x:c>
      <x:c r="D8" s="145" t="n">
        <x:v>2</x:v>
      </x:c>
      <x:c r="E8" s="145" t="n">
        <x:v>5</x:v>
      </x:c>
      <x:c r="F8" s="177" t="n">
        <x:v>71</x:v>
      </x:c>
      <x:c r="G8" s="145" t="n">
        <x:f>COUNTIFS('60天路线图'!$A$5:$A$304,A8,'60天路线图'!$R$5:$R$304,"已完成")</x:f>
        <x:v>0</x:v>
      </x:c>
      <x:c r="H8" s="199" t="n">
        <x:f>IFERROR(G8/E8,0)</x:f>
        <x:v>0</x:v>
      </x:c>
      <x:c r="I8" s="205" t="n">
        <x:f>IFERROR(SUMIFS('60天路线图'!$S$5:$S$304,'60天路线图'!$A$5:$A$304,A8)/COUNTIFS('60天路线图'!$A$5:$A$304,A8,'60天路线图'!$S$5:$S$304,"&lt;&gt;"),0)</x:f>
        <x:v>0</x:v>
      </x:c>
      <x:c r="J8" s="177" t="n">
        <x:f>SUMIFS('60天路线图'!$T$5:$T$304,'60天路线图'!$A$5:$A$304,A8)</x:f>
        <x:v>0</x:v>
      </x:c>
      <x:c r="K8" s="151" t="str">
        <x:v>二叉树、数组与哈希、二分查找</x:v>
      </x:c>
      <x:c r="L8" s="112"/>
    </x:row>
    <x:row r="9" ht="32" customHeight="1">
      <x:c r="A9" s="99" t="n">
        <x:v>3</x:v>
      </x:c>
      <x:c r="B9" s="145" t="str">
        <x:v>阶段一 基础模式与语言热身</x:v>
      </x:c>
      <x:c r="C9" s="145" t="n">
        <x:v>3</x:v>
      </x:c>
      <x:c r="D9" s="145" t="n">
        <x:v>2</x:v>
      </x:c>
      <x:c r="E9" s="145" t="n">
        <x:v>5</x:v>
      </x:c>
      <x:c r="F9" s="177" t="n">
        <x:v>80</x:v>
      </x:c>
      <x:c r="G9" s="145" t="n">
        <x:f>COUNTIFS('60天路线图'!$A$5:$A$304,A9,'60天路线图'!$R$5:$R$304,"已完成")</x:f>
        <x:v>0</x:v>
      </x:c>
      <x:c r="H9" s="199" t="n">
        <x:f>IFERROR(G9/E9,0)</x:f>
        <x:v>0</x:v>
      </x:c>
      <x:c r="I9" s="205" t="n">
        <x:f>IFERROR(SUMIFS('60天路线图'!$S$5:$S$304,'60天路线图'!$A$5:$A$304,A9)/COUNTIFS('60天路线图'!$A$5:$A$304,A9,'60天路线图'!$S$5:$S$304,"&lt;&gt;"),0)</x:f>
        <x:v>0</x:v>
      </x:c>
      <x:c r="J9" s="177" t="n">
        <x:f>SUMIFS('60天路线图'!$T$5:$T$304,'60天路线图'!$A$5:$A$304,A9)</x:f>
        <x:v>0</x:v>
      </x:c>
      <x:c r="K9" s="151" t="str">
        <x:v>图论、二叉搜索树、二叉树</x:v>
      </x:c>
      <x:c r="L9" s="112"/>
    </x:row>
    <x:row r="10" ht="32" customHeight="1">
      <x:c r="A10" s="99" t="n">
        <x:v>4</x:v>
      </x:c>
      <x:c r="B10" s="145" t="str">
        <x:v>阶段一 基础模式与语言热身</x:v>
      </x:c>
      <x:c r="C10" s="145" t="n">
        <x:v>3</x:v>
      </x:c>
      <x:c r="D10" s="145" t="n">
        <x:v>2</x:v>
      </x:c>
      <x:c r="E10" s="145" t="n">
        <x:v>5</x:v>
      </x:c>
      <x:c r="F10" s="177" t="n">
        <x:v>84</x:v>
      </x:c>
      <x:c r="G10" s="145" t="n">
        <x:f>COUNTIFS('60天路线图'!$A$5:$A$304,A10,'60天路线图'!$R$5:$R$304,"已完成")</x:f>
        <x:v>0</x:v>
      </x:c>
      <x:c r="H10" s="199" t="n">
        <x:f>IFERROR(G10/E10,0)</x:f>
        <x:v>0</x:v>
      </x:c>
      <x:c r="I10" s="205" t="n">
        <x:f>IFERROR(SUMIFS('60天路线图'!$S$5:$S$304,'60天路线图'!$A$5:$A$304,A10)/COUNTIFS('60天路线图'!$A$5:$A$304,A10,'60天路线图'!$S$5:$S$304,"&lt;&gt;"),0)</x:f>
        <x:v>0</x:v>
      </x:c>
      <x:c r="J10" s="177" t="n">
        <x:f>SUMIFS('60天路线图'!$T$5:$T$304,'60天路线图'!$A$5:$A$304,A10)</x:f>
        <x:v>0</x:v>
      </x:c>
      <x:c r="K10" s="151" t="str">
        <x:v>链表、栈与队列、二分查找</x:v>
      </x:c>
      <x:c r="L10" s="112"/>
    </x:row>
    <x:row r="11" ht="32" customHeight="1">
      <x:c r="A11" s="99" t="n">
        <x:v>5</x:v>
      </x:c>
      <x:c r="B11" s="145" t="str">
        <x:v>阶段一 基础模式与语言热身</x:v>
      </x:c>
      <x:c r="C11" s="145" t="n">
        <x:v>3</x:v>
      </x:c>
      <x:c r="D11" s="145" t="n">
        <x:v>2</x:v>
      </x:c>
      <x:c r="E11" s="145" t="n">
        <x:v>5</x:v>
      </x:c>
      <x:c r="F11" s="177" t="n">
        <x:v>80</x:v>
      </x:c>
      <x:c r="G11" s="145" t="n">
        <x:f>COUNTIFS('60天路线图'!$A$5:$A$304,A11,'60天路线图'!$R$5:$R$304,"已完成")</x:f>
        <x:v>0</x:v>
      </x:c>
      <x:c r="H11" s="199" t="n">
        <x:f>IFERROR(G11/E11,0)</x:f>
        <x:v>0</x:v>
      </x:c>
      <x:c r="I11" s="205" t="n">
        <x:f>IFERROR(SUMIFS('60天路线图'!$S$5:$S$304,'60天路线图'!$A$5:$A$304,A11)/COUNTIFS('60天路线图'!$A$5:$A$304,A11,'60天路线图'!$S$5:$S$304,"&lt;&gt;"),0)</x:f>
        <x:v>0</x:v>
      </x:c>
      <x:c r="J11" s="177" t="n">
        <x:f>SUMIFS('60天路线图'!$T$5:$T$304,'60天路线图'!$A$5:$A$304,A11)</x:f>
        <x:v>0</x:v>
      </x:c>
      <x:c r="K11" s="151" t="str">
        <x:v>数组与哈希、动态规划、字符串与哈希</x:v>
      </x:c>
      <x:c r="L11" s="112"/>
    </x:row>
    <x:row r="12" ht="32" customHeight="1">
      <x:c r="A12" s="99" t="n">
        <x:v>6</x:v>
      </x:c>
      <x:c r="B12" s="145" t="str">
        <x:v>阶段一 基础模式与语言热身</x:v>
      </x:c>
      <x:c r="C12" s="145" t="n">
        <x:v>3</x:v>
      </x:c>
      <x:c r="D12" s="145" t="n">
        <x:v>2</x:v>
      </x:c>
      <x:c r="E12" s="145" t="n">
        <x:v>5</x:v>
      </x:c>
      <x:c r="F12" s="177" t="n">
        <x:v>80</x:v>
      </x:c>
      <x:c r="G12" s="145" t="n">
        <x:f>COUNTIFS('60天路线图'!$A$5:$A$304,A12,'60天路线图'!$R$5:$R$304,"已完成")</x:f>
        <x:v>0</x:v>
      </x:c>
      <x:c r="H12" s="199" t="n">
        <x:f>IFERROR(G12/E12,0)</x:f>
        <x:v>0</x:v>
      </x:c>
      <x:c r="I12" s="205" t="n">
        <x:f>IFERROR(SUMIFS('60天路线图'!$S$5:$S$304,'60天路线图'!$A$5:$A$304,A12)/COUNTIFS('60天路线图'!$A$5:$A$304,A12,'60天路线图'!$S$5:$S$304,"&lt;&gt;"),0)</x:f>
        <x:v>0</x:v>
      </x:c>
      <x:c r="J12" s="177" t="n">
        <x:f>SUMIFS('60天路线图'!$T$5:$T$304,'60天路线图'!$A$5:$A$304,A12)</x:f>
        <x:v>0</x:v>
      </x:c>
      <x:c r="K12" s="151" t="str">
        <x:v>链表、数组与贪心、位运算与字符串</x:v>
      </x:c>
      <x:c r="L12" s="112"/>
    </x:row>
    <x:row r="13" ht="32" customHeight="1">
      <x:c r="A13" s="99" t="n">
        <x:v>7</x:v>
      </x:c>
      <x:c r="B13" s="145" t="str">
        <x:v>阶段一 基础模式与语言热身</x:v>
      </x:c>
      <x:c r="C13" s="145" t="n">
        <x:v>3</x:v>
      </x:c>
      <x:c r="D13" s="145" t="n">
        <x:v>2</x:v>
      </x:c>
      <x:c r="E13" s="145" t="n">
        <x:v>5</x:v>
      </x:c>
      <x:c r="F13" s="177" t="n">
        <x:v>91</x:v>
      </x:c>
      <x:c r="G13" s="145" t="n">
        <x:f>COUNTIFS('60天路线图'!$A$5:$A$304,A13,'60天路线图'!$R$5:$R$304,"已完成")</x:f>
        <x:v>0</x:v>
      </x:c>
      <x:c r="H13" s="199" t="n">
        <x:f>IFERROR(G13/E13,0)</x:f>
        <x:v>0</x:v>
      </x:c>
      <x:c r="I13" s="205" t="n">
        <x:f>IFERROR(SUMIFS('60天路线图'!$S$5:$S$304,'60天路线图'!$A$5:$A$304,A13)/COUNTIFS('60天路线图'!$A$5:$A$304,A13,'60天路线图'!$S$5:$S$304,"&lt;&gt;"),0)</x:f>
        <x:v>0</x:v>
      </x:c>
      <x:c r="J13" s="177" t="n">
        <x:f>SUMIFS('60天路线图'!$T$5:$T$304,'60天路线图'!$A$5:$A$304,A13)</x:f>
        <x:v>0</x:v>
      </x:c>
      <x:c r="K13" s="151" t="str">
        <x:v>二叉树、链表</x:v>
      </x:c>
      <x:c r="L13" s="112"/>
    </x:row>
    <x:row r="14" ht="32" customHeight="1">
      <x:c r="A14" s="99" t="n">
        <x:v>8</x:v>
      </x:c>
      <x:c r="B14" s="145" t="str">
        <x:v>阶段一 基础模式与语言热身</x:v>
      </x:c>
      <x:c r="C14" s="145" t="n">
        <x:v>3</x:v>
      </x:c>
      <x:c r="D14" s="145" t="n">
        <x:v>2</x:v>
      </x:c>
      <x:c r="E14" s="145" t="n">
        <x:v>5</x:v>
      </x:c>
      <x:c r="F14" s="177" t="n">
        <x:v>85</x:v>
      </x:c>
      <x:c r="G14" s="145" t="n">
        <x:f>COUNTIFS('60天路线图'!$A$5:$A$304,A14,'60天路线图'!$R$5:$R$304,"已完成")</x:f>
        <x:v>0</x:v>
      </x:c>
      <x:c r="H14" s="199" t="n">
        <x:f>IFERROR(G14/E14,0)</x:f>
        <x:v>0</x:v>
      </x:c>
      <x:c r="I14" s="205" t="n">
        <x:f>IFERROR(SUMIFS('60天路线图'!$S$5:$S$304,'60天路线图'!$A$5:$A$304,A14)/COUNTIFS('60天路线图'!$A$5:$A$304,A14,'60天路线图'!$S$5:$S$304,"&lt;&gt;"),0)</x:f>
        <x:v>0</x:v>
      </x:c>
      <x:c r="J14" s="177" t="n">
        <x:f>SUMIFS('60天路线图'!$T$5:$T$304,'60天路线图'!$A$5:$A$304,A14)</x:f>
        <x:v>0</x:v>
      </x:c>
      <x:c r="K14" s="151" t="str">
        <x:v>数组与哈希、动态规划、区间与贪心</x:v>
      </x:c>
      <x:c r="L14" s="112"/>
    </x:row>
    <x:row r="15" ht="32" customHeight="1">
      <x:c r="A15" s="99" t="n">
        <x:v>9</x:v>
      </x:c>
      <x:c r="B15" s="145" t="str">
        <x:v>阶段二 高频中等题主干</x:v>
      </x:c>
      <x:c r="C15" s="145" t="n">
        <x:v>2</x:v>
      </x:c>
      <x:c r="D15" s="145" t="n">
        <x:v>3</x:v>
      </x:c>
      <x:c r="E15" s="145" t="n">
        <x:v>5</x:v>
      </x:c>
      <x:c r="F15" s="177" t="n">
        <x:v>98</x:v>
      </x:c>
      <x:c r="G15" s="145" t="n">
        <x:f>COUNTIFS('60天路线图'!$A$5:$A$304,A15,'60天路线图'!$R$5:$R$304,"已完成")</x:f>
        <x:v>0</x:v>
      </x:c>
      <x:c r="H15" s="199" t="n">
        <x:f>IFERROR(G15/E15,0)</x:f>
        <x:v>0</x:v>
      </x:c>
      <x:c r="I15" s="205" t="n">
        <x:f>IFERROR(SUMIFS('60天路线图'!$S$5:$S$304,'60天路线图'!$A$5:$A$304,A15)/COUNTIFS('60天路线图'!$A$5:$A$304,A15,'60天路线图'!$S$5:$S$304,"&lt;&gt;"),0)</x:f>
        <x:v>0</x:v>
      </x:c>
      <x:c r="J15" s="177" t="n">
        <x:f>SUMIFS('60天路线图'!$T$5:$T$304,'60天路线图'!$A$5:$A$304,A15)</x:f>
        <x:v>0</x:v>
      </x:c>
      <x:c r="K15" s="151" t="str">
        <x:v>图论、堆与优先队列</x:v>
      </x:c>
      <x:c r="L15" s="112"/>
    </x:row>
    <x:row r="16" ht="32" customHeight="1">
      <x:c r="A16" s="99" t="n">
        <x:v>10</x:v>
      </x:c>
      <x:c r="B16" s="145" t="str">
        <x:v>阶段二 高频中等题主干</x:v>
      </x:c>
      <x:c r="C16" s="145" t="n">
        <x:v>2</x:v>
      </x:c>
      <x:c r="D16" s="145" t="n">
        <x:v>3</x:v>
      </x:c>
      <x:c r="E16" s="145" t="n">
        <x:v>5</x:v>
      </x:c>
      <x:c r="F16" s="177" t="n">
        <x:v>98</x:v>
      </x:c>
      <x:c r="G16" s="145" t="n">
        <x:f>COUNTIFS('60天路线图'!$A$5:$A$304,A16,'60天路线图'!$R$5:$R$304,"已完成")</x:f>
        <x:v>0</x:v>
      </x:c>
      <x:c r="H16" s="199" t="n">
        <x:f>IFERROR(G16/E16,0)</x:f>
        <x:v>0</x:v>
      </x:c>
      <x:c r="I16" s="205" t="n">
        <x:f>IFERROR(SUMIFS('60天路线图'!$S$5:$S$304,'60天路线图'!$A$5:$A$304,A16)/COUNTIFS('60天路线图'!$A$5:$A$304,A16,'60天路线图'!$S$5:$S$304,"&lt;&gt;"),0)</x:f>
        <x:v>0</x:v>
      </x:c>
      <x:c r="J16" s="177" t="n">
        <x:f>SUMIFS('60天路线图'!$T$5:$T$304,'60天路线图'!$A$5:$A$304,A16)</x:f>
        <x:v>0</x:v>
      </x:c>
      <x:c r="K16" s="151" t="str">
        <x:v>滑动窗口、双指针</x:v>
      </x:c>
      <x:c r="L16" s="112"/>
    </x:row>
    <x:row r="17" ht="32" customHeight="1">
      <x:c r="A17" s="99" t="n">
        <x:v>11</x:v>
      </x:c>
      <x:c r="B17" s="145" t="str">
        <x:v>阶段二 高频中等题主干</x:v>
      </x:c>
      <x:c r="C17" s="145" t="n">
        <x:v>2</x:v>
      </x:c>
      <x:c r="D17" s="145" t="n">
        <x:v>3</x:v>
      </x:c>
      <x:c r="E17" s="145" t="n">
        <x:v>5</x:v>
      </x:c>
      <x:c r="F17" s="177" t="n">
        <x:v>83</x:v>
      </x:c>
      <x:c r="G17" s="145" t="n">
        <x:f>COUNTIFS('60天路线图'!$A$5:$A$304,A17,'60天路线图'!$R$5:$R$304,"已完成")</x:f>
        <x:v>0</x:v>
      </x:c>
      <x:c r="H17" s="199" t="n">
        <x:f>IFERROR(G17/E17,0)</x:f>
        <x:v>0</x:v>
      </x:c>
      <x:c r="I17" s="205" t="n">
        <x:f>IFERROR(SUMIFS('60天路线图'!$S$5:$S$304,'60天路线图'!$A$5:$A$304,A17)/COUNTIFS('60天路线图'!$A$5:$A$304,A17,'60天路线图'!$S$5:$S$304,"&lt;&gt;"),0)</x:f>
        <x:v>0</x:v>
      </x:c>
      <x:c r="J17" s="177" t="n">
        <x:f>SUMIFS('60天路线图'!$T$5:$T$304,'60天路线图'!$A$5:$A$304,A17)</x:f>
        <x:v>0</x:v>
      </x:c>
      <x:c r="K17" s="151" t="str">
        <x:v>二叉树、图论</x:v>
      </x:c>
      <x:c r="L17" s="112"/>
    </x:row>
    <x:row r="18" ht="32" customHeight="1">
      <x:c r="A18" s="99" t="n">
        <x:v>12</x:v>
      </x:c>
      <x:c r="B18" s="145" t="str">
        <x:v>阶段二 高频中等题主干</x:v>
      </x:c>
      <x:c r="C18" s="145" t="n">
        <x:v>2</x:v>
      </x:c>
      <x:c r="D18" s="145" t="n">
        <x:v>3</x:v>
      </x:c>
      <x:c r="E18" s="145" t="n">
        <x:v>5</x:v>
      </x:c>
      <x:c r="F18" s="177" t="n">
        <x:v>108</x:v>
      </x:c>
      <x:c r="G18" s="145" t="n">
        <x:f>COUNTIFS('60天路线图'!$A$5:$A$304,A18,'60天路线图'!$R$5:$R$304,"已完成")</x:f>
        <x:v>0</x:v>
      </x:c>
      <x:c r="H18" s="199" t="n">
        <x:f>IFERROR(G18/E18,0)</x:f>
        <x:v>0</x:v>
      </x:c>
      <x:c r="I18" s="205" t="n">
        <x:f>IFERROR(SUMIFS('60天路线图'!$S$5:$S$304,'60天路线图'!$A$5:$A$304,A18)/COUNTIFS('60天路线图'!$A$5:$A$304,A18,'60天路线图'!$S$5:$S$304,"&lt;&gt;"),0)</x:f>
        <x:v>0</x:v>
      </x:c>
      <x:c r="J18" s="177" t="n">
        <x:f>SUMIFS('60天路线图'!$T$5:$T$304,'60天路线图'!$A$5:$A$304,A18)</x:f>
        <x:v>0</x:v>
      </x:c>
      <x:c r="K18" s="151" t="str">
        <x:v>栈与队列、图论</x:v>
      </x:c>
      <x:c r="L18" s="112"/>
    </x:row>
    <x:row r="19" ht="32" customHeight="1">
      <x:c r="A19" s="99" t="n">
        <x:v>13</x:v>
      </x:c>
      <x:c r="B19" s="145" t="str">
        <x:v>阶段二 高频中等题主干</x:v>
      </x:c>
      <x:c r="C19" s="145" t="n">
        <x:v>2</x:v>
      </x:c>
      <x:c r="D19" s="145" t="n">
        <x:v>3</x:v>
      </x:c>
      <x:c r="E19" s="145" t="n">
        <x:v>5</x:v>
      </x:c>
      <x:c r="F19" s="177" t="n">
        <x:v>120</x:v>
      </x:c>
      <x:c r="G19" s="145" t="n">
        <x:f>COUNTIFS('60天路线图'!$A$5:$A$304,A19,'60天路线图'!$R$5:$R$304,"已完成")</x:f>
        <x:v>0</x:v>
      </x:c>
      <x:c r="H19" s="199" t="n">
        <x:f>IFERROR(G19/E19,0)</x:f>
        <x:v>0</x:v>
      </x:c>
      <x:c r="I19" s="205" t="n">
        <x:f>IFERROR(SUMIFS('60天路线图'!$S$5:$S$304,'60天路线图'!$A$5:$A$304,A19)/COUNTIFS('60天路线图'!$A$5:$A$304,A19,'60天路线图'!$S$5:$S$304,"&lt;&gt;"),0)</x:f>
        <x:v>0</x:v>
      </x:c>
      <x:c r="J19" s="177" t="n">
        <x:f>SUMIFS('60天路线图'!$T$5:$T$304,'60天路线图'!$A$5:$A$304,A19)</x:f>
        <x:v>0</x:v>
      </x:c>
      <x:c r="K19" s="151" t="str">
        <x:v>Trie、动态规划</x:v>
      </x:c>
      <x:c r="L19" s="112"/>
    </x:row>
    <x:row r="20" ht="32" customHeight="1">
      <x:c r="A20" s="99" t="n">
        <x:v>14</x:v>
      </x:c>
      <x:c r="B20" s="145" t="str">
        <x:v>阶段二 高频中等题主干</x:v>
      </x:c>
      <x:c r="C20" s="145" t="n">
        <x:v>2</x:v>
      </x:c>
      <x:c r="D20" s="145" t="n">
        <x:v>3</x:v>
      </x:c>
      <x:c r="E20" s="145" t="n">
        <x:v>5</x:v>
      </x:c>
      <x:c r="F20" s="177" t="n">
        <x:v>99</x:v>
      </x:c>
      <x:c r="G20" s="145" t="n">
        <x:f>COUNTIFS('60天路线图'!$A$5:$A$304,A20,'60天路线图'!$R$5:$R$304,"已完成")</x:f>
        <x:v>0</x:v>
      </x:c>
      <x:c r="H20" s="199" t="n">
        <x:f>IFERROR(G20/E20,0)</x:f>
        <x:v>0</x:v>
      </x:c>
      <x:c r="I20" s="205" t="n">
        <x:f>IFERROR(SUMIFS('60天路线图'!$S$5:$S$304,'60天路线图'!$A$5:$A$304,A20)/COUNTIFS('60天路线图'!$A$5:$A$304,A20,'60天路线图'!$S$5:$S$304,"&lt;&gt;"),0)</x:f>
        <x:v>0</x:v>
      </x:c>
      <x:c r="J20" s="177" t="n">
        <x:f>SUMIFS('60天路线图'!$T$5:$T$304,'60天路线图'!$A$5:$A$304,A20)</x:f>
        <x:v>0</x:v>
      </x:c>
      <x:c r="K20" s="151" t="str">
        <x:v>数组与前缀、栈与队列</x:v>
      </x:c>
      <x:c r="L20" s="112"/>
    </x:row>
    <x:row r="21" ht="32" customHeight="1">
      <x:c r="A21" s="99" t="n">
        <x:v>15</x:v>
      </x:c>
      <x:c r="B21" s="145" t="str">
        <x:v>阶段二 高频中等题主干</x:v>
      </x:c>
      <x:c r="C21" s="145" t="n">
        <x:v>2</x:v>
      </x:c>
      <x:c r="D21" s="145" t="n">
        <x:v>3</x:v>
      </x:c>
      <x:c r="E21" s="145" t="n">
        <x:v>5</x:v>
      </x:c>
      <x:c r="F21" s="177" t="n">
        <x:v>104</x:v>
      </x:c>
      <x:c r="G21" s="145" t="n">
        <x:f>COUNTIFS('60天路线图'!$A$5:$A$304,A21,'60天路线图'!$R$5:$R$304,"已完成")</x:f>
        <x:v>0</x:v>
      </x:c>
      <x:c r="H21" s="199" t="n">
        <x:f>IFERROR(G21/E21,0)</x:f>
        <x:v>0</x:v>
      </x:c>
      <x:c r="I21" s="205" t="n">
        <x:f>IFERROR(SUMIFS('60天路线图'!$S$5:$S$304,'60天路线图'!$A$5:$A$304,A21)/COUNTIFS('60天路线图'!$A$5:$A$304,A21,'60天路线图'!$S$5:$S$304,"&lt;&gt;"),0)</x:f>
        <x:v>0</x:v>
      </x:c>
      <x:c r="J21" s="177" t="n">
        <x:f>SUMIFS('60天路线图'!$T$5:$T$304,'60天路线图'!$A$5:$A$304,A21)</x:f>
        <x:v>0</x:v>
      </x:c>
      <x:c r="K21" s="151" t="str">
        <x:v>二叉搜索树、图论</x:v>
      </x:c>
      <x:c r="L21" s="112"/>
    </x:row>
    <x:row r="22" ht="32" customHeight="1">
      <x:c r="A22" s="99" t="n">
        <x:v>16</x:v>
      </x:c>
      <x:c r="B22" s="145" t="str">
        <x:v>阶段二 高频中等题主干</x:v>
      </x:c>
      <x:c r="C22" s="145" t="n">
        <x:v>2</x:v>
      </x:c>
      <x:c r="D22" s="145" t="n">
        <x:v>3</x:v>
      </x:c>
      <x:c r="E22" s="145" t="n">
        <x:v>5</x:v>
      </x:c>
      <x:c r="F22" s="177" t="n">
        <x:v>113</x:v>
      </x:c>
      <x:c r="G22" s="145" t="n">
        <x:f>COUNTIFS('60天路线图'!$A$5:$A$304,A22,'60天路线图'!$R$5:$R$304,"已完成")</x:f>
        <x:v>0</x:v>
      </x:c>
      <x:c r="H22" s="199" t="n">
        <x:f>IFERROR(G22/E22,0)</x:f>
        <x:v>0</x:v>
      </x:c>
      <x:c r="I22" s="205" t="n">
        <x:f>IFERROR(SUMIFS('60天路线图'!$S$5:$S$304,'60天路线图'!$A$5:$A$304,A22)/COUNTIFS('60天路线图'!$A$5:$A$304,A22,'60天路线图'!$S$5:$S$304,"&lt;&gt;"),0)</x:f>
        <x:v>0</x:v>
      </x:c>
      <x:c r="J22" s="177" t="n">
        <x:f>SUMIFS('60天路线图'!$T$5:$T$304,'60天路线图'!$A$5:$A$304,A22)</x:f>
        <x:v>0</x:v>
      </x:c>
      <x:c r="K22" s="151" t="str">
        <x:v>图论、二分查找</x:v>
      </x:c>
      <x:c r="L22" s="112"/>
    </x:row>
    <x:row r="23" ht="32" customHeight="1">
      <x:c r="A23" s="99" t="n">
        <x:v>17</x:v>
      </x:c>
      <x:c r="B23" s="145" t="str">
        <x:v>阶段二 高频中等题主干</x:v>
      </x:c>
      <x:c r="C23" s="145" t="n">
        <x:v>2</x:v>
      </x:c>
      <x:c r="D23" s="145" t="n">
        <x:v>3</x:v>
      </x:c>
      <x:c r="E23" s="145" t="n">
        <x:v>5</x:v>
      </x:c>
      <x:c r="F23" s="177" t="n">
        <x:v>109</x:v>
      </x:c>
      <x:c r="G23" s="145" t="n">
        <x:f>COUNTIFS('60天路线图'!$A$5:$A$304,A23,'60天路线图'!$R$5:$R$304,"已完成")</x:f>
        <x:v>0</x:v>
      </x:c>
      <x:c r="H23" s="199" t="n">
        <x:f>IFERROR(G23/E23,0)</x:f>
        <x:v>0</x:v>
      </x:c>
      <x:c r="I23" s="205" t="n">
        <x:f>IFERROR(SUMIFS('60天路线图'!$S$5:$S$304,'60天路线图'!$A$5:$A$304,A23)/COUNTIFS('60天路线图'!$A$5:$A$304,A23,'60天路线图'!$S$5:$S$304,"&lt;&gt;"),0)</x:f>
        <x:v>0</x:v>
      </x:c>
      <x:c r="J23" s="177" t="n">
        <x:f>SUMIFS('60天路线图'!$T$5:$T$304,'60天路线图'!$A$5:$A$304,A23)</x:f>
        <x:v>0</x:v>
      </x:c>
      <x:c r="K23" s="151" t="str">
        <x:v>回溯</x:v>
      </x:c>
      <x:c r="L23" s="112"/>
    </x:row>
    <x:row r="24" ht="32" customHeight="1">
      <x:c r="A24" s="99" t="n">
        <x:v>18</x:v>
      </x:c>
      <x:c r="B24" s="145" t="str">
        <x:v>阶段二 高频中等题主干</x:v>
      </x:c>
      <x:c r="C24" s="145" t="n">
        <x:v>2</x:v>
      </x:c>
      <x:c r="D24" s="145" t="n">
        <x:v>3</x:v>
      </x:c>
      <x:c r="E24" s="145" t="n">
        <x:v>5</x:v>
      </x:c>
      <x:c r="F24" s="177" t="n">
        <x:v>115</x:v>
      </x:c>
      <x:c r="G24" s="145" t="n">
        <x:f>COUNTIFS('60天路线图'!$A$5:$A$304,A24,'60天路线图'!$R$5:$R$304,"已完成")</x:f>
        <x:v>0</x:v>
      </x:c>
      <x:c r="H24" s="199" t="n">
        <x:f>IFERROR(G24/E24,0)</x:f>
        <x:v>0</x:v>
      </x:c>
      <x:c r="I24" s="205" t="n">
        <x:f>IFERROR(SUMIFS('60天路线图'!$S$5:$S$304,'60天路线图'!$A$5:$A$304,A24)/COUNTIFS('60天路线图'!$A$5:$A$304,A24,'60天路线图'!$S$5:$S$304,"&lt;&gt;"),0)</x:f>
        <x:v>0</x:v>
      </x:c>
      <x:c r="J24" s="177" t="n">
        <x:f>SUMIFS('60天路线图'!$T$5:$T$304,'60天路线图'!$A$5:$A$304,A24)</x:f>
        <x:v>0</x:v>
      </x:c>
      <x:c r="K24" s="151" t="str">
        <x:v>区间与贪心、二叉树</x:v>
      </x:c>
      <x:c r="L24" s="112"/>
    </x:row>
    <x:row r="25" ht="32" customHeight="1">
      <x:c r="A25" s="99" t="n">
        <x:v>19</x:v>
      </x:c>
      <x:c r="B25" s="145" t="str">
        <x:v>阶段二 高频中等题主干</x:v>
      </x:c>
      <x:c r="C25" s="145" t="n">
        <x:v>2</x:v>
      </x:c>
      <x:c r="D25" s="145" t="n">
        <x:v>3</x:v>
      </x:c>
      <x:c r="E25" s="145" t="n">
        <x:v>5</x:v>
      </x:c>
      <x:c r="F25" s="177" t="n">
        <x:v>111</x:v>
      </x:c>
      <x:c r="G25" s="145" t="n">
        <x:f>COUNTIFS('60天路线图'!$A$5:$A$304,A25,'60天路线图'!$R$5:$R$304,"已完成")</x:f>
        <x:v>0</x:v>
      </x:c>
      <x:c r="H25" s="199" t="n">
        <x:f>IFERROR(G25/E25,0)</x:f>
        <x:v>0</x:v>
      </x:c>
      <x:c r="I25" s="205" t="n">
        <x:f>IFERROR(SUMIFS('60天路线图'!$S$5:$S$304,'60天路线图'!$A$5:$A$304,A25)/COUNTIFS('60天路线图'!$A$5:$A$304,A25,'60天路线图'!$S$5:$S$304,"&lt;&gt;"),0)</x:f>
        <x:v>0</x:v>
      </x:c>
      <x:c r="J25" s="177" t="n">
        <x:f>SUMIFS('60天路线图'!$T$5:$T$304,'60天路线图'!$A$5:$A$304,A25)</x:f>
        <x:v>0</x:v>
      </x:c>
      <x:c r="K25" s="151" t="str">
        <x:v>二分查找、图论</x:v>
      </x:c>
      <x:c r="L25" s="112"/>
    </x:row>
    <x:row r="26" ht="32" customHeight="1">
      <x:c r="A26" s="99" t="n">
        <x:v>20</x:v>
      </x:c>
      <x:c r="B26" s="145" t="str">
        <x:v>阶段二 高频中等题主干</x:v>
      </x:c>
      <x:c r="C26" s="145" t="n">
        <x:v>2</x:v>
      </x:c>
      <x:c r="D26" s="145" t="n">
        <x:v>3</x:v>
      </x:c>
      <x:c r="E26" s="145" t="n">
        <x:v>5</x:v>
      </x:c>
      <x:c r="F26" s="177" t="n">
        <x:v>108</x:v>
      </x:c>
      <x:c r="G26" s="145" t="n">
        <x:f>COUNTIFS('60天路线图'!$A$5:$A$304,A26,'60天路线图'!$R$5:$R$304,"已完成")</x:f>
        <x:v>0</x:v>
      </x:c>
      <x:c r="H26" s="199" t="n">
        <x:f>IFERROR(G26/E26,0)</x:f>
        <x:v>0</x:v>
      </x:c>
      <x:c r="I26" s="205" t="n">
        <x:f>IFERROR(SUMIFS('60天路线图'!$S$5:$S$304,'60天路线图'!$A$5:$A$304,A26)/COUNTIFS('60天路线图'!$A$5:$A$304,A26,'60天路线图'!$S$5:$S$304,"&lt;&gt;"),0)</x:f>
        <x:v>0</x:v>
      </x:c>
      <x:c r="J26" s="177" t="n">
        <x:f>SUMIFS('60天路线图'!$T$5:$T$304,'60天路线图'!$A$5:$A$304,A26)</x:f>
        <x:v>0</x:v>
      </x:c>
      <x:c r="K26" s="151" t="str">
        <x:v>双指针、动态规划</x:v>
      </x:c>
      <x:c r="L26" s="112"/>
    </x:row>
    <x:row r="27" ht="32" customHeight="1">
      <x:c r="A27" s="99" t="n">
        <x:v>21</x:v>
      </x:c>
      <x:c r="B27" s="145" t="str">
        <x:v>阶段三 树图动态规划深化</x:v>
      </x:c>
      <x:c r="C27" s="145" t="n">
        <x:v>2</x:v>
      </x:c>
      <x:c r="D27" s="145" t="n">
        <x:v>3</x:v>
      </x:c>
      <x:c r="E27" s="145" t="n">
        <x:v>5</x:v>
      </x:c>
      <x:c r="F27" s="177" t="n">
        <x:v>85</x:v>
      </x:c>
      <x:c r="G27" s="145" t="n">
        <x:f>COUNTIFS('60天路线图'!$A$5:$A$304,A27,'60天路线图'!$R$5:$R$304,"已完成")</x:f>
        <x:v>0</x:v>
      </x:c>
      <x:c r="H27" s="199" t="n">
        <x:f>IFERROR(G27/E27,0)</x:f>
        <x:v>0</x:v>
      </x:c>
      <x:c r="I27" s="205" t="n">
        <x:f>IFERROR(SUMIFS('60天路线图'!$S$5:$S$304,'60天路线图'!$A$5:$A$304,A27)/COUNTIFS('60天路线图'!$A$5:$A$304,A27,'60天路线图'!$S$5:$S$304,"&lt;&gt;"),0)</x:f>
        <x:v>0</x:v>
      </x:c>
      <x:c r="J27" s="177" t="n">
        <x:f>SUMIFS('60天路线图'!$T$5:$T$304,'60天路线图'!$A$5:$A$304,A27)</x:f>
        <x:v>0</x:v>
      </x:c>
      <x:c r="K27" s="151" t="str">
        <x:v>动态规划、字符串与模拟</x:v>
      </x:c>
      <x:c r="L27" s="112"/>
    </x:row>
    <x:row r="28" ht="32" customHeight="1">
      <x:c r="A28" s="99" t="n">
        <x:v>22</x:v>
      </x:c>
      <x:c r="B28" s="145" t="str">
        <x:v>阶段三 树图动态规划深化</x:v>
      </x:c>
      <x:c r="C28" s="145" t="n">
        <x:v>2</x:v>
      </x:c>
      <x:c r="D28" s="145" t="n">
        <x:v>3</x:v>
      </x:c>
      <x:c r="E28" s="145" t="n">
        <x:v>5</x:v>
      </x:c>
      <x:c r="F28" s="177" t="n">
        <x:v>101</x:v>
      </x:c>
      <x:c r="G28" s="145" t="n">
        <x:f>COUNTIFS('60天路线图'!$A$5:$A$304,A28,'60天路线图'!$R$5:$R$304,"已完成")</x:f>
        <x:v>0</x:v>
      </x:c>
      <x:c r="H28" s="199" t="n">
        <x:f>IFERROR(G28/E28,0)</x:f>
        <x:v>0</x:v>
      </x:c>
      <x:c r="I28" s="205" t="n">
        <x:f>IFERROR(SUMIFS('60天路线图'!$S$5:$S$304,'60天路线图'!$A$5:$A$304,A28)/COUNTIFS('60天路线图'!$A$5:$A$304,A28,'60天路线图'!$S$5:$S$304,"&lt;&gt;"),0)</x:f>
        <x:v>0</x:v>
      </x:c>
      <x:c r="J28" s="177" t="n">
        <x:f>SUMIFS('60天路线图'!$T$5:$T$304,'60天路线图'!$A$5:$A$304,A28)</x:f>
        <x:v>0</x:v>
      </x:c>
      <x:c r="K28" s="151" t="str">
        <x:v>矩阵与模拟、回溯</x:v>
      </x:c>
      <x:c r="L28" s="112"/>
    </x:row>
    <x:row r="29" ht="32" customHeight="1">
      <x:c r="A29" s="99" t="n">
        <x:v>23</x:v>
      </x:c>
      <x:c r="B29" s="145" t="str">
        <x:v>阶段三 树图动态规划深化</x:v>
      </x:c>
      <x:c r="C29" s="145" t="n">
        <x:v>2</x:v>
      </x:c>
      <x:c r="D29" s="145" t="n">
        <x:v>3</x:v>
      </x:c>
      <x:c r="E29" s="145" t="n">
        <x:v>5</x:v>
      </x:c>
      <x:c r="F29" s="177" t="n">
        <x:v>85</x:v>
      </x:c>
      <x:c r="G29" s="145" t="n">
        <x:f>COUNTIFS('60天路线图'!$A$5:$A$304,A29,'60天路线图'!$R$5:$R$304,"已完成")</x:f>
        <x:v>0</x:v>
      </x:c>
      <x:c r="H29" s="199" t="n">
        <x:f>IFERROR(G29/E29,0)</x:f>
        <x:v>0</x:v>
      </x:c>
      <x:c r="I29" s="205" t="n">
        <x:f>IFERROR(SUMIFS('60天路线图'!$S$5:$S$304,'60天路线图'!$A$5:$A$304,A29)/COUNTIFS('60天路线图'!$A$5:$A$304,A29,'60天路线图'!$S$5:$S$304,"&lt;&gt;"),0)</x:f>
        <x:v>0</x:v>
      </x:c>
      <x:c r="J29" s="177" t="n">
        <x:f>SUMIFS('60天路线图'!$T$5:$T$304,'60天路线图'!$A$5:$A$304,A29)</x:f>
        <x:v>0</x:v>
      </x:c>
      <x:c r="K29" s="151" t="str">
        <x:v>二叉树、字符串与动态规划</x:v>
      </x:c>
      <x:c r="L29" s="112"/>
    </x:row>
    <x:row r="30" ht="32" customHeight="1">
      <x:c r="A30" s="99" t="n">
        <x:v>24</x:v>
      </x:c>
      <x:c r="B30" s="145" t="str">
        <x:v>阶段三 树图动态规划深化</x:v>
      </x:c>
      <x:c r="C30" s="145" t="n">
        <x:v>2</x:v>
      </x:c>
      <x:c r="D30" s="145" t="n">
        <x:v>3</x:v>
      </x:c>
      <x:c r="E30" s="145" t="n">
        <x:v>5</x:v>
      </x:c>
      <x:c r="F30" s="177" t="n">
        <x:v>81</x:v>
      </x:c>
      <x:c r="G30" s="145" t="n">
        <x:f>COUNTIFS('60天路线图'!$A$5:$A$304,A30,'60天路线图'!$R$5:$R$304,"已完成")</x:f>
        <x:v>0</x:v>
      </x:c>
      <x:c r="H30" s="199" t="n">
        <x:f>IFERROR(G30/E30,0)</x:f>
        <x:v>0</x:v>
      </x:c>
      <x:c r="I30" s="205" t="n">
        <x:f>IFERROR(SUMIFS('60天路线图'!$S$5:$S$304,'60天路线图'!$A$5:$A$304,A30)/COUNTIFS('60天路线图'!$A$5:$A$304,A30,'60天路线图'!$S$5:$S$304,"&lt;&gt;"),0)</x:f>
        <x:v>0</x:v>
      </x:c>
      <x:c r="J30" s="177" t="n">
        <x:f>SUMIFS('60天路线图'!$T$5:$T$304,'60天路线图'!$A$5:$A$304,A30)</x:f>
        <x:v>0</x:v>
      </x:c>
      <x:c r="K30" s="151" t="str">
        <x:v>动态规划、二叉树</x:v>
      </x:c>
      <x:c r="L30" s="112"/>
    </x:row>
    <x:row r="31" ht="32" customHeight="1">
      <x:c r="A31" s="99" t="n">
        <x:v>25</x:v>
      </x:c>
      <x:c r="B31" s="145" t="str">
        <x:v>阶段三 树图动态规划深化</x:v>
      </x:c>
      <x:c r="C31" s="145" t="n">
        <x:v>2</x:v>
      </x:c>
      <x:c r="D31" s="145" t="n">
        <x:v>3</x:v>
      </x:c>
      <x:c r="E31" s="145" t="n">
        <x:v>5</x:v>
      </x:c>
      <x:c r="F31" s="177" t="n">
        <x:v>101</x:v>
      </x:c>
      <x:c r="G31" s="145" t="n">
        <x:f>COUNTIFS('60天路线图'!$A$5:$A$304,A31,'60天路线图'!$R$5:$R$304,"已完成")</x:f>
        <x:v>0</x:v>
      </x:c>
      <x:c r="H31" s="199" t="n">
        <x:f>IFERROR(G31/E31,0)</x:f>
        <x:v>0</x:v>
      </x:c>
      <x:c r="I31" s="205" t="n">
        <x:f>IFERROR(SUMIFS('60天路线图'!$S$5:$S$304,'60天路线图'!$A$5:$A$304,A31)/COUNTIFS('60天路线图'!$A$5:$A$304,A31,'60天路线图'!$S$5:$S$304,"&lt;&gt;"),0)</x:f>
        <x:v>0</x:v>
      </x:c>
      <x:c r="J31" s="177" t="n">
        <x:f>SUMIFS('60天路线图'!$T$5:$T$304,'60天路线图'!$A$5:$A$304,A31)</x:f>
        <x:v>0</x:v>
      </x:c>
      <x:c r="K31" s="151" t="str">
        <x:v>双指针、回溯</x:v>
      </x:c>
      <x:c r="L31" s="112"/>
    </x:row>
    <x:row r="32" ht="32" customHeight="1">
      <x:c r="A32" s="99" t="n">
        <x:v>26</x:v>
      </x:c>
      <x:c r="B32" s="145" t="str">
        <x:v>阶段三 树图动态规划深化</x:v>
      </x:c>
      <x:c r="C32" s="145" t="n">
        <x:v>2</x:v>
      </x:c>
      <x:c r="D32" s="145" t="n">
        <x:v>3</x:v>
      </x:c>
      <x:c r="E32" s="145" t="n">
        <x:v>5</x:v>
      </x:c>
      <x:c r="F32" s="177" t="n">
        <x:v>100</x:v>
      </x:c>
      <x:c r="G32" s="145" t="n">
        <x:f>COUNTIFS('60天路线图'!$A$5:$A$304,A32,'60天路线图'!$R$5:$R$304,"已完成")</x:f>
        <x:v>0</x:v>
      </x:c>
      <x:c r="H32" s="199" t="n">
        <x:f>IFERROR(G32/E32,0)</x:f>
        <x:v>0</x:v>
      </x:c>
      <x:c r="I32" s="205" t="n">
        <x:f>IFERROR(SUMIFS('60天路线图'!$S$5:$S$304,'60天路线图'!$A$5:$A$304,A32)/COUNTIFS('60天路线图'!$A$5:$A$304,A32,'60天路线图'!$S$5:$S$304,"&lt;&gt;"),0)</x:f>
        <x:v>0</x:v>
      </x:c>
      <x:c r="J32" s="177" t="n">
        <x:f>SUMIFS('60天路线图'!$T$5:$T$304,'60天路线图'!$A$5:$A$304,A32)</x:f>
        <x:v>0</x:v>
      </x:c>
      <x:c r="K32" s="151" t="str">
        <x:v>回溯与图论、滑动窗口</x:v>
      </x:c>
      <x:c r="L32" s="112"/>
    </x:row>
    <x:row r="33" ht="32" customHeight="1">
      <x:c r="A33" s="99" t="n">
        <x:v>27</x:v>
      </x:c>
      <x:c r="B33" s="145" t="str">
        <x:v>阶段三 树图动态规划深化</x:v>
      </x:c>
      <x:c r="C33" s="145" t="n">
        <x:v>2</x:v>
      </x:c>
      <x:c r="D33" s="145" t="n">
        <x:v>3</x:v>
      </x:c>
      <x:c r="E33" s="145" t="n">
        <x:v>5</x:v>
      </x:c>
      <x:c r="F33" s="177" t="n">
        <x:v>104</x:v>
      </x:c>
      <x:c r="G33" s="145" t="n">
        <x:f>COUNTIFS('60天路线图'!$A$5:$A$304,A33,'60天路线图'!$R$5:$R$304,"已完成")</x:f>
        <x:v>0</x:v>
      </x:c>
      <x:c r="H33" s="199" t="n">
        <x:f>IFERROR(G33/E33,0)</x:f>
        <x:v>0</x:v>
      </x:c>
      <x:c r="I33" s="205" t="n">
        <x:f>IFERROR(SUMIFS('60天路线图'!$S$5:$S$304,'60天路线图'!$A$5:$A$304,A33)/COUNTIFS('60天路线图'!$A$5:$A$304,A33,'60天路线图'!$S$5:$S$304,"&lt;&gt;"),0)</x:f>
        <x:v>0</x:v>
      </x:c>
      <x:c r="J33" s="177" t="n">
        <x:f>SUMIFS('60天路线图'!$T$5:$T$304,'60天路线图'!$A$5:$A$304,A33)</x:f>
        <x:v>0</x:v>
      </x:c>
      <x:c r="K33" s="151" t="str">
        <x:v>图论、堆与贪心</x:v>
      </x:c>
      <x:c r="L33" s="112"/>
    </x:row>
    <x:row r="34" ht="32" customHeight="1">
      <x:c r="A34" s="99" t="n">
        <x:v>28</x:v>
      </x:c>
      <x:c r="B34" s="145" t="str">
        <x:v>阶段三 树图动态规划深化</x:v>
      </x:c>
      <x:c r="C34" s="145" t="n">
        <x:v>2</x:v>
      </x:c>
      <x:c r="D34" s="145" t="n">
        <x:v>3</x:v>
      </x:c>
      <x:c r="E34" s="145" t="n">
        <x:v>5</x:v>
      </x:c>
      <x:c r="F34" s="177" t="n">
        <x:v>91</x:v>
      </x:c>
      <x:c r="G34" s="145" t="n">
        <x:f>COUNTIFS('60天路线图'!$A$5:$A$304,A34,'60天路线图'!$R$5:$R$304,"已完成")</x:f>
        <x:v>0</x:v>
      </x:c>
      <x:c r="H34" s="199" t="n">
        <x:f>IFERROR(G34/E34,0)</x:f>
        <x:v>0</x:v>
      </x:c>
      <x:c r="I34" s="205" t="n">
        <x:f>IFERROR(SUMIFS('60天路线图'!$S$5:$S$304,'60天路线图'!$A$5:$A$304,A34)/COUNTIFS('60天路线图'!$A$5:$A$304,A34,'60天路线图'!$S$5:$S$304,"&lt;&gt;"),0)</x:f>
        <x:v>0</x:v>
      </x:c>
      <x:c r="J34" s="177" t="n">
        <x:f>SUMIFS('60天路线图'!$T$5:$T$304,'60天路线图'!$A$5:$A$304,A34)</x:f>
        <x:v>0</x:v>
      </x:c>
      <x:c r="K34" s="151" t="str">
        <x:v>设计、二叉搜索树</x:v>
      </x:c>
      <x:c r="L34" s="112"/>
    </x:row>
    <x:row r="35" ht="32" customHeight="1">
      <x:c r="A35" s="99" t="n">
        <x:v>29</x:v>
      </x:c>
      <x:c r="B35" s="145" t="str">
        <x:v>阶段三 树图动态规划深化</x:v>
      </x:c>
      <x:c r="C35" s="145" t="n">
        <x:v>2</x:v>
      </x:c>
      <x:c r="D35" s="145" t="n">
        <x:v>3</x:v>
      </x:c>
      <x:c r="E35" s="145" t="n">
        <x:v>5</x:v>
      </x:c>
      <x:c r="F35" s="177" t="n">
        <x:v>103</x:v>
      </x:c>
      <x:c r="G35" s="145" t="n">
        <x:f>COUNTIFS('60天路线图'!$A$5:$A$304,A35,'60天路线图'!$R$5:$R$304,"已完成")</x:f>
        <x:v>0</x:v>
      </x:c>
      <x:c r="H35" s="199" t="n">
        <x:f>IFERROR(G35/E35,0)</x:f>
        <x:v>0</x:v>
      </x:c>
      <x:c r="I35" s="205" t="n">
        <x:f>IFERROR(SUMIFS('60天路线图'!$S$5:$S$304,'60天路线图'!$A$5:$A$304,A35)/COUNTIFS('60天路线图'!$A$5:$A$304,A35,'60天路线图'!$S$5:$S$304,"&lt;&gt;"),0)</x:f>
        <x:v>0</x:v>
      </x:c>
      <x:c r="J35" s="177" t="n">
        <x:f>SUMIFS('60天路线图'!$T$5:$T$304,'60天路线图'!$A$5:$A$304,A35)</x:f>
        <x:v>0</x:v>
      </x:c>
      <x:c r="K35" s="151" t="str">
        <x:v>滑动窗口、二叉树</x:v>
      </x:c>
      <x:c r="L35" s="112"/>
    </x:row>
    <x:row r="36" ht="32" customHeight="1">
      <x:c r="A36" s="99" t="n">
        <x:v>30</x:v>
      </x:c>
      <x:c r="B36" s="145" t="str">
        <x:v>阶段三 树图动态规划深化</x:v>
      </x:c>
      <x:c r="C36" s="145" t="n">
        <x:v>2</x:v>
      </x:c>
      <x:c r="D36" s="145" t="n">
        <x:v>3</x:v>
      </x:c>
      <x:c r="E36" s="145" t="n">
        <x:v>5</x:v>
      </x:c>
      <x:c r="F36" s="177" t="n">
        <x:v>118</x:v>
      </x:c>
      <x:c r="G36" s="145" t="n">
        <x:f>COUNTIFS('60天路线图'!$A$5:$A$304,A36,'60天路线图'!$R$5:$R$304,"已完成")</x:f>
        <x:v>0</x:v>
      </x:c>
      <x:c r="H36" s="199" t="n">
        <x:f>IFERROR(G36/E36,0)</x:f>
        <x:v>0</x:v>
      </x:c>
      <x:c r="I36" s="205" t="n">
        <x:f>IFERROR(SUMIFS('60天路线图'!$S$5:$S$304,'60天路线图'!$A$5:$A$304,A36)/COUNTIFS('60天路线图'!$A$5:$A$304,A36,'60天路线图'!$S$5:$S$304,"&lt;&gt;"),0)</x:f>
        <x:v>0</x:v>
      </x:c>
      <x:c r="J36" s="177" t="n">
        <x:f>SUMIFS('60天路线图'!$T$5:$T$304,'60天路线图'!$A$5:$A$304,A36)</x:f>
        <x:v>0</x:v>
      </x:c>
      <x:c r="K36" s="151" t="str">
        <x:v>单调栈与双指针、堆与优先队列</x:v>
      </x:c>
      <x:c r="L36" s="112"/>
    </x:row>
    <x:row r="37" ht="32" customHeight="1">
      <x:c r="A37" s="99" t="n">
        <x:v>31</x:v>
      </x:c>
      <x:c r="B37" s="145" t="str">
        <x:v>阶段三 树图动态规划深化</x:v>
      </x:c>
      <x:c r="C37" s="145" t="n">
        <x:v>2</x:v>
      </x:c>
      <x:c r="D37" s="145" t="n">
        <x:v>3</x:v>
      </x:c>
      <x:c r="E37" s="145" t="n">
        <x:v>5</x:v>
      </x:c>
      <x:c r="F37" s="177" t="n">
        <x:v>130</x:v>
      </x:c>
      <x:c r="G37" s="145" t="n">
        <x:f>COUNTIFS('60天路线图'!$A$5:$A$304,A37,'60天路线图'!$R$5:$R$304,"已完成")</x:f>
        <x:v>0</x:v>
      </x:c>
      <x:c r="H37" s="199" t="n">
        <x:f>IFERROR(G37/E37,0)</x:f>
        <x:v>0</x:v>
      </x:c>
      <x:c r="I37" s="205" t="n">
        <x:f>IFERROR(SUMIFS('60天路线图'!$S$5:$S$304,'60天路线图'!$A$5:$A$304,A37)/COUNTIFS('60天路线图'!$A$5:$A$304,A37,'60天路线图'!$S$5:$S$304,"&lt;&gt;"),0)</x:f>
        <x:v>0</x:v>
      </x:c>
      <x:c r="J37" s="177" t="n">
        <x:f>SUMIFS('60天路线图'!$T$5:$T$304,'60天路线图'!$A$5:$A$304,A37)</x:f>
        <x:v>0</x:v>
      </x:c>
      <x:c r="K37" s="151" t="str">
        <x:v>图论、栈与队列</x:v>
      </x:c>
      <x:c r="L37" s="112"/>
    </x:row>
    <x:row r="38" ht="32" customHeight="1">
      <x:c r="A38" s="99" t="n">
        <x:v>32</x:v>
      </x:c>
      <x:c r="B38" s="145" t="str">
        <x:v>阶段三 树图动态规划深化</x:v>
      </x:c>
      <x:c r="C38" s="145" t="n">
        <x:v>2</x:v>
      </x:c>
      <x:c r="D38" s="145" t="n">
        <x:v>3</x:v>
      </x:c>
      <x:c r="E38" s="145" t="n">
        <x:v>5</x:v>
      </x:c>
      <x:c r="F38" s="177" t="n">
        <x:v>115</x:v>
      </x:c>
      <x:c r="G38" s="145" t="n">
        <x:f>COUNTIFS('60天路线图'!$A$5:$A$304,A38,'60天路线图'!$R$5:$R$304,"已完成")</x:f>
        <x:v>0</x:v>
      </x:c>
      <x:c r="H38" s="199" t="n">
        <x:f>IFERROR(G38/E38,0)</x:f>
        <x:v>0</x:v>
      </x:c>
      <x:c r="I38" s="205" t="n">
        <x:f>IFERROR(SUMIFS('60天路线图'!$S$5:$S$304,'60天路线图'!$A$5:$A$304,A38)/COUNTIFS('60天路线图'!$A$5:$A$304,A38,'60天路线图'!$S$5:$S$304,"&lt;&gt;"),0)</x:f>
        <x:v>0</x:v>
      </x:c>
      <x:c r="J38" s="177" t="n">
        <x:f>SUMIFS('60天路线图'!$T$5:$T$304,'60天路线图'!$A$5:$A$304,A38)</x:f>
        <x:v>0</x:v>
      </x:c>
      <x:c r="K38" s="151" t="str">
        <x:v>动态规划与二分、堆与链表</x:v>
      </x:c>
      <x:c r="L38" s="112"/>
    </x:row>
    <x:row r="39" ht="32" customHeight="1">
      <x:c r="A39" s="99" t="n">
        <x:v>33</x:v>
      </x:c>
      <x:c r="B39" s="145" t="str">
        <x:v>阶段三 树图动态规划深化</x:v>
      </x:c>
      <x:c r="C39" s="145" t="n">
        <x:v>2</x:v>
      </x:c>
      <x:c r="D39" s="145" t="n">
        <x:v>3</x:v>
      </x:c>
      <x:c r="E39" s="145" t="n">
        <x:v>5</x:v>
      </x:c>
      <x:c r="F39" s="177" t="n">
        <x:v>92</x:v>
      </x:c>
      <x:c r="G39" s="145" t="n">
        <x:f>COUNTIFS('60天路线图'!$A$5:$A$304,A39,'60天路线图'!$R$5:$R$304,"已完成")</x:f>
        <x:v>0</x:v>
      </x:c>
      <x:c r="H39" s="199" t="n">
        <x:f>IFERROR(G39/E39,0)</x:f>
        <x:v>0</x:v>
      </x:c>
      <x:c r="I39" s="205" t="n">
        <x:f>IFERROR(SUMIFS('60天路线图'!$S$5:$S$304,'60天路线图'!$A$5:$A$304,A39)/COUNTIFS('60天路线图'!$A$5:$A$304,A39,'60天路线图'!$S$5:$S$304,"&lt;&gt;"),0)</x:f>
        <x:v>0</x:v>
      </x:c>
      <x:c r="J39" s="177" t="n">
        <x:f>SUMIFS('60天路线图'!$T$5:$T$304,'60天路线图'!$A$5:$A$304,A39)</x:f>
        <x:v>0</x:v>
      </x:c>
      <x:c r="K39" s="151" t="str">
        <x:v>单调栈、双指针</x:v>
      </x:c>
      <x:c r="L39" s="112"/>
    </x:row>
    <x:row r="40" ht="32" customHeight="1">
      <x:c r="A40" s="99" t="n">
        <x:v>34</x:v>
      </x:c>
      <x:c r="B40" s="145" t="str">
        <x:v>阶段四 专题补强与难题</x:v>
      </x:c>
      <x:c r="C40" s="145" t="n">
        <x:v>2</x:v>
      </x:c>
      <x:c r="D40" s="145" t="n">
        <x:v>3</x:v>
      </x:c>
      <x:c r="E40" s="145" t="n">
        <x:v>5</x:v>
      </x:c>
      <x:c r="F40" s="177" t="n">
        <x:v>103</x:v>
      </x:c>
      <x:c r="G40" s="145" t="n">
        <x:f>COUNTIFS('60天路线图'!$A$5:$A$304,A40,'60天路线图'!$R$5:$R$304,"已完成")</x:f>
        <x:v>0</x:v>
      </x:c>
      <x:c r="H40" s="199" t="n">
        <x:f>IFERROR(G40/E40,0)</x:f>
        <x:v>0</x:v>
      </x:c>
      <x:c r="I40" s="205" t="n">
        <x:f>IFERROR(SUMIFS('60天路线图'!$S$5:$S$304,'60天路线图'!$A$5:$A$304,A40)/COUNTIFS('60天路线图'!$A$5:$A$304,A40,'60天路线图'!$S$5:$S$304,"&lt;&gt;"),0)</x:f>
        <x:v>0</x:v>
      </x:c>
      <x:c r="J40" s="177" t="n">
        <x:f>SUMIFS('60天路线图'!$T$5:$T$304,'60天路线图'!$A$5:$A$304,A40)</x:f>
        <x:v>0</x:v>
      </x:c>
      <x:c r="K40" s="151" t="str">
        <x:v>滑动窗口、链表</x:v>
      </x:c>
      <x:c r="L40" s="112"/>
    </x:row>
    <x:row r="41" ht="32" customHeight="1">
      <x:c r="A41" s="99" t="n">
        <x:v>35</x:v>
      </x:c>
      <x:c r="B41" s="145" t="str">
        <x:v>阶段四 专题补强与难题</x:v>
      </x:c>
      <x:c r="C41" s="145" t="n">
        <x:v>2</x:v>
      </x:c>
      <x:c r="D41" s="145" t="n">
        <x:v>3</x:v>
      </x:c>
      <x:c r="E41" s="145" t="n">
        <x:v>5</x:v>
      </x:c>
      <x:c r="F41" s="177" t="n">
        <x:v>101</x:v>
      </x:c>
      <x:c r="G41" s="145" t="n">
        <x:f>COUNTIFS('60天路线图'!$A$5:$A$304,A41,'60天路线图'!$R$5:$R$304,"已完成")</x:f>
        <x:v>0</x:v>
      </x:c>
      <x:c r="H41" s="199" t="n">
        <x:f>IFERROR(G41/E41,0)</x:f>
        <x:v>0</x:v>
      </x:c>
      <x:c r="I41" s="205" t="n">
        <x:f>IFERROR(SUMIFS('60天路线图'!$S$5:$S$304,'60天路线图'!$A$5:$A$304,A41)/COUNTIFS('60天路线图'!$A$5:$A$304,A41,'60天路线图'!$S$5:$S$304,"&lt;&gt;"),0)</x:f>
        <x:v>0</x:v>
      </x:c>
      <x:c r="J41" s="177" t="n">
        <x:f>SUMIFS('60天路线图'!$T$5:$T$304,'60天路线图'!$A$5:$A$304,A41)</x:f>
        <x:v>0</x:v>
      </x:c>
      <x:c r="K41" s="151" t="str">
        <x:v>链表</x:v>
      </x:c>
      <x:c r="L41" s="112"/>
    </x:row>
    <x:row r="42" ht="32" customHeight="1">
      <x:c r="A42" s="99" t="n">
        <x:v>36</x:v>
      </x:c>
      <x:c r="B42" s="145" t="str">
        <x:v>阶段四 专题补强与难题</x:v>
      </x:c>
      <x:c r="C42" s="145" t="n">
        <x:v>2</x:v>
      </x:c>
      <x:c r="D42" s="145" t="n">
        <x:v>3</x:v>
      </x:c>
      <x:c r="E42" s="145" t="n">
        <x:v>5</x:v>
      </x:c>
      <x:c r="F42" s="177" t="n">
        <x:v>130</x:v>
      </x:c>
      <x:c r="G42" s="145" t="n">
        <x:f>COUNTIFS('60天路线图'!$A$5:$A$304,A42,'60天路线图'!$R$5:$R$304,"已完成")</x:f>
        <x:v>0</x:v>
      </x:c>
      <x:c r="H42" s="199" t="n">
        <x:f>IFERROR(G42/E42,0)</x:f>
        <x:v>0</x:v>
      </x:c>
      <x:c r="I42" s="205" t="n">
        <x:f>IFERROR(SUMIFS('60天路线图'!$S$5:$S$304,'60天路线图'!$A$5:$A$304,A42)/COUNTIFS('60天路线图'!$A$5:$A$304,A42,'60天路线图'!$S$5:$S$304,"&lt;&gt;"),0)</x:f>
        <x:v>0</x:v>
      </x:c>
      <x:c r="J42" s="177" t="n">
        <x:f>SUMIFS('60天路线图'!$T$5:$T$304,'60天路线图'!$A$5:$A$304,A42)</x:f>
        <x:v>0</x:v>
      </x:c>
      <x:c r="K42" s="151" t="str">
        <x:v>前缀和与哈希、单调队列</x:v>
      </x:c>
      <x:c r="L42" s="112"/>
    </x:row>
    <x:row r="43" ht="32" customHeight="1">
      <x:c r="A43" s="99" t="n">
        <x:v>37</x:v>
      </x:c>
      <x:c r="B43" s="145" t="str">
        <x:v>阶段四 专题补强与难题</x:v>
      </x:c>
      <x:c r="C43" s="145" t="n">
        <x:v>2</x:v>
      </x:c>
      <x:c r="D43" s="145" t="n">
        <x:v>3</x:v>
      </x:c>
      <x:c r="E43" s="145" t="n">
        <x:v>5</x:v>
      </x:c>
      <x:c r="F43" s="177" t="n">
        <x:v>100</x:v>
      </x:c>
      <x:c r="G43" s="145" t="n">
        <x:f>COUNTIFS('60天路线图'!$A$5:$A$304,A43,'60天路线图'!$R$5:$R$304,"已完成")</x:f>
        <x:v>0</x:v>
      </x:c>
      <x:c r="H43" s="199" t="n">
        <x:f>IFERROR(G43/E43,0)</x:f>
        <x:v>0</x:v>
      </x:c>
      <x:c r="I43" s="205" t="n">
        <x:f>IFERROR(SUMIFS('60天路线图'!$S$5:$S$304,'60天路线图'!$A$5:$A$304,A43)/COUNTIFS('60天路线图'!$A$5:$A$304,A43,'60天路线图'!$S$5:$S$304,"&lt;&gt;"),0)</x:f>
        <x:v>0</x:v>
      </x:c>
      <x:c r="J43" s="177" t="n">
        <x:f>SUMIFS('60天路线图'!$T$5:$T$304,'60天路线图'!$A$5:$A$304,A43)</x:f>
        <x:v>0</x:v>
      </x:c>
      <x:c r="K43" s="151" t="str">
        <x:v>堆与优先队列、二叉树</x:v>
      </x:c>
      <x:c r="L43" s="112"/>
    </x:row>
    <x:row r="44" ht="32" customHeight="1">
      <x:c r="A44" s="99" t="n">
        <x:v>38</x:v>
      </x:c>
      <x:c r="B44" s="145" t="str">
        <x:v>阶段四 专题补强与难题</x:v>
      </x:c>
      <x:c r="C44" s="145" t="n">
        <x:v>2</x:v>
      </x:c>
      <x:c r="D44" s="145" t="n">
        <x:v>3</x:v>
      </x:c>
      <x:c r="E44" s="145" t="n">
        <x:v>5</x:v>
      </x:c>
      <x:c r="F44" s="177" t="n">
        <x:v>100</x:v>
      </x:c>
      <x:c r="G44" s="145" t="n">
        <x:f>COUNTIFS('60天路线图'!$A$5:$A$304,A44,'60天路线图'!$R$5:$R$304,"已完成")</x:f>
        <x:v>0</x:v>
      </x:c>
      <x:c r="H44" s="199" t="n">
        <x:f>IFERROR(G44/E44,0)</x:f>
        <x:v>0</x:v>
      </x:c>
      <x:c r="I44" s="205" t="n">
        <x:f>IFERROR(SUMIFS('60天路线图'!$S$5:$S$304,'60天路线图'!$A$5:$A$304,A44)/COUNTIFS('60天路线图'!$A$5:$A$304,A44,'60天路线图'!$S$5:$S$304,"&lt;&gt;"),0)</x:f>
        <x:v>0</x:v>
      </x:c>
      <x:c r="J44" s="177" t="n">
        <x:f>SUMIFS('60天路线图'!$T$5:$T$304,'60天路线图'!$A$5:$A$304,A44)</x:f>
        <x:v>0</x:v>
      </x:c>
      <x:c r="K44" s="151" t="str">
        <x:v>回溯</x:v>
      </x:c>
      <x:c r="L44" s="112"/>
    </x:row>
    <x:row r="45" ht="32" customHeight="1">
      <x:c r="A45" s="99" t="n">
        <x:v>39</x:v>
      </x:c>
      <x:c r="B45" s="145" t="str">
        <x:v>阶段四 专题补强与难题</x:v>
      </x:c>
      <x:c r="C45" s="145" t="n">
        <x:v>2</x:v>
      </x:c>
      <x:c r="D45" s="145" t="n">
        <x:v>3</x:v>
      </x:c>
      <x:c r="E45" s="145" t="n">
        <x:v>5</x:v>
      </x:c>
      <x:c r="F45" s="177" t="n">
        <x:v>128</x:v>
      </x:c>
      <x:c r="G45" s="145" t="n">
        <x:f>COUNTIFS('60天路线图'!$A$5:$A$304,A45,'60天路线图'!$R$5:$R$304,"已完成")</x:f>
        <x:v>0</x:v>
      </x:c>
      <x:c r="H45" s="199" t="n">
        <x:f>IFERROR(G45/E45,0)</x:f>
        <x:v>0</x:v>
      </x:c>
      <x:c r="I45" s="205" t="n">
        <x:f>IFERROR(SUMIFS('60天路线图'!$S$5:$S$304,'60天路线图'!$A$5:$A$304,A45)/COUNTIFS('60天路线图'!$A$5:$A$304,A45,'60天路线图'!$S$5:$S$304,"&lt;&gt;"),0)</x:f>
        <x:v>0</x:v>
      </x:c>
      <x:c r="J45" s="177" t="n">
        <x:f>SUMIFS('60天路线图'!$T$5:$T$304,'60天路线图'!$A$5:$A$304,A45)</x:f>
        <x:v>0</x:v>
      </x:c>
      <x:c r="K45" s="151" t="str">
        <x:v>回溯</x:v>
      </x:c>
      <x:c r="L45" s="112"/>
    </x:row>
    <x:row r="46" ht="32" customHeight="1">
      <x:c r="A46" s="99" t="n">
        <x:v>40</x:v>
      </x:c>
      <x:c r="B46" s="145" t="str">
        <x:v>阶段四 专题补强与难题</x:v>
      </x:c>
      <x:c r="C46" s="145" t="n">
        <x:v>2</x:v>
      </x:c>
      <x:c r="D46" s="145" t="n">
        <x:v>3</x:v>
      </x:c>
      <x:c r="E46" s="145" t="n">
        <x:v>5</x:v>
      </x:c>
      <x:c r="F46" s="177" t="n">
        <x:v>112</x:v>
      </x:c>
      <x:c r="G46" s="145" t="n">
        <x:f>COUNTIFS('60天路线图'!$A$5:$A$304,A46,'60天路线图'!$R$5:$R$304,"已完成")</x:f>
        <x:v>0</x:v>
      </x:c>
      <x:c r="H46" s="199" t="n">
        <x:f>IFERROR(G46/E46,0)</x:f>
        <x:v>0</x:v>
      </x:c>
      <x:c r="I46" s="205" t="n">
        <x:f>IFERROR(SUMIFS('60天路线图'!$S$5:$S$304,'60天路线图'!$A$5:$A$304,A46)/COUNTIFS('60天路线图'!$A$5:$A$304,A46,'60天路线图'!$S$5:$S$304,"&lt;&gt;"),0)</x:f>
        <x:v>0</x:v>
      </x:c>
      <x:c r="J46" s="177" t="n">
        <x:f>SUMIFS('60天路线图'!$T$5:$T$304,'60天路线图'!$A$5:$A$304,A46)</x:f>
        <x:v>0</x:v>
      </x:c>
      <x:c r="K46" s="151" t="str">
        <x:v>贪心、区间与贪心</x:v>
      </x:c>
      <x:c r="L46" s="112"/>
    </x:row>
    <x:row r="47" ht="32" customHeight="1">
      <x:c r="A47" s="99" t="n">
        <x:v>41</x:v>
      </x:c>
      <x:c r="B47" s="145" t="str">
        <x:v>阶段四 专题补强与难题</x:v>
      </x:c>
      <x:c r="C47" s="145" t="n">
        <x:v>2</x:v>
      </x:c>
      <x:c r="D47" s="145" t="n">
        <x:v>3</x:v>
      </x:c>
      <x:c r="E47" s="145" t="n">
        <x:v>5</x:v>
      </x:c>
      <x:c r="F47" s="177" t="n">
        <x:v>103</x:v>
      </x:c>
      <x:c r="G47" s="145" t="n">
        <x:f>COUNTIFS('60天路线图'!$A$5:$A$304,A47,'60天路线图'!$R$5:$R$304,"已完成")</x:f>
        <x:v>0</x:v>
      </x:c>
      <x:c r="H47" s="199" t="n">
        <x:f>IFERROR(G47/E47,0)</x:f>
        <x:v>0</x:v>
      </x:c>
      <x:c r="I47" s="205" t="n">
        <x:f>IFERROR(SUMIFS('60天路线图'!$S$5:$S$304,'60天路线图'!$A$5:$A$304,A47)/COUNTIFS('60天路线图'!$A$5:$A$304,A47,'60天路线图'!$S$5:$S$304,"&lt;&gt;"),0)</x:f>
        <x:v>0</x:v>
      </x:c>
      <x:c r="J47" s="177" t="n">
        <x:f>SUMIFS('60天路线图'!$T$5:$T$304,'60天路线图'!$A$5:$A$304,A47)</x:f>
        <x:v>0</x:v>
      </x:c>
      <x:c r="K47" s="151" t="str">
        <x:v>区间与贪心、动态规划</x:v>
      </x:c>
      <x:c r="L47" s="112"/>
    </x:row>
    <x:row r="48" ht="32" customHeight="1">
      <x:c r="A48" s="99" t="n">
        <x:v>42</x:v>
      </x:c>
      <x:c r="B48" s="145" t="str">
        <x:v>阶段四 专题补强与难题</x:v>
      </x:c>
      <x:c r="C48" s="145" t="n">
        <x:v>2</x:v>
      </x:c>
      <x:c r="D48" s="145" t="n">
        <x:v>3</x:v>
      </x:c>
      <x:c r="E48" s="145" t="n">
        <x:v>5</x:v>
      </x:c>
      <x:c r="F48" s="177" t="n">
        <x:v>94</x:v>
      </x:c>
      <x:c r="G48" s="145" t="n">
        <x:f>COUNTIFS('60天路线图'!$A$5:$A$304,A48,'60天路线图'!$R$5:$R$304,"已完成")</x:f>
        <x:v>0</x:v>
      </x:c>
      <x:c r="H48" s="199" t="n">
        <x:f>IFERROR(G48/E48,0)</x:f>
        <x:v>0</x:v>
      </x:c>
      <x:c r="I48" s="205" t="n">
        <x:f>IFERROR(SUMIFS('60天路线图'!$S$5:$S$304,'60天路线图'!$A$5:$A$304,A48)/COUNTIFS('60天路线图'!$A$5:$A$304,A48,'60天路线图'!$S$5:$S$304,"&lt;&gt;"),0)</x:f>
        <x:v>0</x:v>
      </x:c>
      <x:c r="J48" s="177" t="n">
        <x:f>SUMIFS('60天路线图'!$T$5:$T$304,'60天路线图'!$A$5:$A$304,A48)</x:f>
        <x:v>0</x:v>
      </x:c>
      <x:c r="K48" s="151" t="str">
        <x:v>动态规划</x:v>
      </x:c>
      <x:c r="L48" s="112"/>
    </x:row>
    <x:row r="49" ht="32" customHeight="1">
      <x:c r="A49" s="99" t="n">
        <x:v>43</x:v>
      </x:c>
      <x:c r="B49" s="145" t="str">
        <x:v>阶段四 专题补强与难题</x:v>
      </x:c>
      <x:c r="C49" s="145" t="n">
        <x:v>2</x:v>
      </x:c>
      <x:c r="D49" s="145" t="n">
        <x:v>3</x:v>
      </x:c>
      <x:c r="E49" s="145" t="n">
        <x:v>5</x:v>
      </x:c>
      <x:c r="F49" s="177" t="n">
        <x:v>107</x:v>
      </x:c>
      <x:c r="G49" s="145" t="n">
        <x:f>COUNTIFS('60天路线图'!$A$5:$A$304,A49,'60天路线图'!$R$5:$R$304,"已完成")</x:f>
        <x:v>0</x:v>
      </x:c>
      <x:c r="H49" s="199" t="n">
        <x:f>IFERROR(G49/E49,0)</x:f>
        <x:v>0</x:v>
      </x:c>
      <x:c r="I49" s="205" t="n">
        <x:f>IFERROR(SUMIFS('60天路线图'!$S$5:$S$304,'60天路线图'!$A$5:$A$304,A49)/COUNTIFS('60天路线图'!$A$5:$A$304,A49,'60天路线图'!$S$5:$S$304,"&lt;&gt;"),0)</x:f>
        <x:v>0</x:v>
      </x:c>
      <x:c r="J49" s="177" t="n">
        <x:f>SUMIFS('60天路线图'!$T$5:$T$304,'60天路线图'!$A$5:$A$304,A49)</x:f>
        <x:v>0</x:v>
      </x:c>
      <x:c r="K49" s="151" t="str">
        <x:v>动态规划、单调栈</x:v>
      </x:c>
      <x:c r="L49" s="112"/>
    </x:row>
    <x:row r="50" ht="32" customHeight="1">
      <x:c r="A50" s="99" t="n">
        <x:v>44</x:v>
      </x:c>
      <x:c r="B50" s="145" t="str">
        <x:v>阶段四 专题补强与难题</x:v>
      </x:c>
      <x:c r="C50" s="145" t="n">
        <x:v>2</x:v>
      </x:c>
      <x:c r="D50" s="145" t="n">
        <x:v>3</x:v>
      </x:c>
      <x:c r="E50" s="145" t="n">
        <x:v>5</x:v>
      </x:c>
      <x:c r="F50" s="177" t="n">
        <x:v>81</x:v>
      </x:c>
      <x:c r="G50" s="145" t="n">
        <x:f>COUNTIFS('60天路线图'!$A$5:$A$304,A50,'60天路线图'!$R$5:$R$304,"已完成")</x:f>
        <x:v>0</x:v>
      </x:c>
      <x:c r="H50" s="199" t="n">
        <x:f>IFERROR(G50/E50,0)</x:f>
        <x:v>0</x:v>
      </x:c>
      <x:c r="I50" s="205" t="n">
        <x:f>IFERROR(SUMIFS('60天路线图'!$S$5:$S$304,'60天路线图'!$A$5:$A$304,A50)/COUNTIFS('60天路线图'!$A$5:$A$304,A50,'60天路线图'!$S$5:$S$304,"&lt;&gt;"),0)</x:f>
        <x:v>0</x:v>
      </x:c>
      <x:c r="J50" s="177" t="n">
        <x:f>SUMIFS('60天路线图'!$T$5:$T$304,'60天路线图'!$A$5:$A$304,A50)</x:f>
        <x:v>0</x:v>
      </x:c>
      <x:c r="K50" s="151" t="str">
        <x:v>位运算、位运算与动态规划</x:v>
      </x:c>
      <x:c r="L50" s="112"/>
    </x:row>
    <x:row r="51" ht="32" customHeight="1">
      <x:c r="A51" s="99" t="n">
        <x:v>45</x:v>
      </x:c>
      <x:c r="B51" s="145" t="str">
        <x:v>阶段四 专题补强与难题</x:v>
      </x:c>
      <x:c r="C51" s="145" t="n">
        <x:v>2</x:v>
      </x:c>
      <x:c r="D51" s="145" t="n">
        <x:v>3</x:v>
      </x:c>
      <x:c r="E51" s="145" t="n">
        <x:v>5</x:v>
      </x:c>
      <x:c r="F51" s="177" t="n">
        <x:v>119</x:v>
      </x:c>
      <x:c r="G51" s="145" t="n">
        <x:f>COUNTIFS('60天路线图'!$A$5:$A$304,A51,'60天路线图'!$R$5:$R$304,"已完成")</x:f>
        <x:v>0</x:v>
      </x:c>
      <x:c r="H51" s="199" t="n">
        <x:f>IFERROR(G51/E51,0)</x:f>
        <x:v>0</x:v>
      </x:c>
      <x:c r="I51" s="205" t="n">
        <x:f>IFERROR(SUMIFS('60天路线图'!$S$5:$S$304,'60天路线图'!$A$5:$A$304,A51)/COUNTIFS('60天路线图'!$A$5:$A$304,A51,'60天路线图'!$S$5:$S$304,"&lt;&gt;"),0)</x:f>
        <x:v>0</x:v>
      </x:c>
      <x:c r="J51" s="177" t="n">
        <x:f>SUMIFS('60天路线图'!$T$5:$T$304,'60天路线图'!$A$5:$A$304,A51)</x:f>
        <x:v>0</x:v>
      </x:c>
      <x:c r="K51" s="151" t="str">
        <x:v>图论</x:v>
      </x:c>
      <x:c r="L51" s="112"/>
    </x:row>
    <x:row r="52" ht="32" customHeight="1">
      <x:c r="A52" s="99" t="n">
        <x:v>46</x:v>
      </x:c>
      <x:c r="B52" s="145" t="str">
        <x:v>阶段五 交错限时模拟</x:v>
      </x:c>
      <x:c r="C52" s="145" t="n">
        <x:v>0</x:v>
      </x:c>
      <x:c r="D52" s="145" t="n">
        <x:v>5</x:v>
      </x:c>
      <x:c r="E52" s="145" t="n">
        <x:v>5</x:v>
      </x:c>
      <x:c r="F52" s="177" t="n">
        <x:v>88</x:v>
      </x:c>
      <x:c r="G52" s="145" t="n">
        <x:f>COUNTIFS('60天路线图'!$A$5:$A$304,A52,'60天路线图'!$R$5:$R$304,"已完成")</x:f>
        <x:v>0</x:v>
      </x:c>
      <x:c r="H52" s="199" t="n">
        <x:f>IFERROR(G52/E52,0)</x:f>
        <x:v>0</x:v>
      </x:c>
      <x:c r="I52" s="205" t="n">
        <x:f>IFERROR(SUMIFS('60天路线图'!$S$5:$S$304,'60天路线图'!$A$5:$A$304,A52)/COUNTIFS('60天路线图'!$A$5:$A$304,A52,'60天路线图'!$S$5:$S$304,"&lt;&gt;"),0)</x:f>
        <x:v>0</x:v>
      </x:c>
      <x:c r="J52" s="177" t="n">
        <x:f>SUMIFS('60天路线图'!$T$5:$T$304,'60天路线图'!$A$5:$A$304,A52)</x:f>
        <x:v>0</x:v>
      </x:c>
      <x:c r="K52" s="151" t="str">
        <x:v>交错复盘：堆与优先队列、区间与贪心、二叉树、单调队列</x:v>
      </x:c>
      <x:c r="L52" s="112"/>
    </x:row>
    <x:row r="53" ht="32" customHeight="1">
      <x:c r="A53" s="99" t="n">
        <x:v>47</x:v>
      </x:c>
      <x:c r="B53" s="145" t="str">
        <x:v>阶段五 交错限时模拟</x:v>
      </x:c>
      <x:c r="C53" s="145" t="n">
        <x:v>0</x:v>
      </x:c>
      <x:c r="D53" s="145" t="n">
        <x:v>5</x:v>
      </x:c>
      <x:c r="E53" s="145" t="n">
        <x:v>5</x:v>
      </x:c>
      <x:c r="F53" s="177" t="n">
        <x:v>71</x:v>
      </x:c>
      <x:c r="G53" s="145" t="n">
        <x:f>COUNTIFS('60天路线图'!$A$5:$A$304,A53,'60天路线图'!$R$5:$R$304,"已完成")</x:f>
        <x:v>0</x:v>
      </x:c>
      <x:c r="H53" s="199" t="n">
        <x:f>IFERROR(G53/E53,0)</x:f>
        <x:v>0</x:v>
      </x:c>
      <x:c r="I53" s="205" t="n">
        <x:f>IFERROR(SUMIFS('60天路线图'!$S$5:$S$304,'60天路线图'!$A$5:$A$304,A53)/COUNTIFS('60天路线图'!$A$5:$A$304,A53,'60天路线图'!$S$5:$S$304,"&lt;&gt;"),0)</x:f>
        <x:v>0</x:v>
      </x:c>
      <x:c r="J53" s="177" t="n">
        <x:f>SUMIFS('60天路线图'!$T$5:$T$304,'60天路线图'!$A$5:$A$304,A53)</x:f>
        <x:v>0</x:v>
      </x:c>
      <x:c r="K53" s="151" t="str">
        <x:v>交错复盘：二叉树、回溯、图论、动态规划</x:v>
      </x:c>
      <x:c r="L53" s="112"/>
    </x:row>
    <x:row r="54" ht="32" customHeight="1">
      <x:c r="A54" s="99" t="n">
        <x:v>48</x:v>
      </x:c>
      <x:c r="B54" s="145" t="str">
        <x:v>阶段五 交错限时模拟</x:v>
      </x:c>
      <x:c r="C54" s="145" t="n">
        <x:v>0</x:v>
      </x:c>
      <x:c r="D54" s="145" t="n">
        <x:v>5</x:v>
      </x:c>
      <x:c r="E54" s="145" t="n">
        <x:v>5</x:v>
      </x:c>
      <x:c r="F54" s="177" t="n">
        <x:v>83</x:v>
      </x:c>
      <x:c r="G54" s="145" t="n">
        <x:f>COUNTIFS('60天路线图'!$A$5:$A$304,A54,'60天路线图'!$R$5:$R$304,"已完成")</x:f>
        <x:v>0</x:v>
      </x:c>
      <x:c r="H54" s="199" t="n">
        <x:f>IFERROR(G54/E54,0)</x:f>
        <x:v>0</x:v>
      </x:c>
      <x:c r="I54" s="205" t="n">
        <x:f>IFERROR(SUMIFS('60天路线图'!$S$5:$S$304,'60天路线图'!$A$5:$A$304,A54)/COUNTIFS('60天路线图'!$A$5:$A$304,A54,'60天路线图'!$S$5:$S$304,"&lt;&gt;"),0)</x:f>
        <x:v>0</x:v>
      </x:c>
      <x:c r="J54" s="177" t="n">
        <x:f>SUMIFS('60天路线图'!$T$5:$T$304,'60天路线图'!$A$5:$A$304,A54)</x:f>
        <x:v>0</x:v>
      </x:c>
      <x:c r="K54" s="151" t="str">
        <x:v>交错复盘：回溯、贪心、区间与贪心、字符串与模拟</x:v>
      </x:c>
      <x:c r="L54" s="112"/>
    </x:row>
    <x:row r="55" ht="32" customHeight="1">
      <x:c r="A55" s="99" t="n">
        <x:v>49</x:v>
      </x:c>
      <x:c r="B55" s="145" t="str">
        <x:v>阶段五 交错限时模拟</x:v>
      </x:c>
      <x:c r="C55" s="145" t="n">
        <x:v>0</x:v>
      </x:c>
      <x:c r="D55" s="145" t="n">
        <x:v>5</x:v>
      </x:c>
      <x:c r="E55" s="145" t="n">
        <x:v>5</x:v>
      </x:c>
      <x:c r="F55" s="177" t="n">
        <x:v>88</x:v>
      </x:c>
      <x:c r="G55" s="145" t="n">
        <x:f>COUNTIFS('60天路线图'!$A$5:$A$304,A55,'60天路线图'!$R$5:$R$304,"已完成")</x:f>
        <x:v>0</x:v>
      </x:c>
      <x:c r="H55" s="199" t="n">
        <x:f>IFERROR(G55/E55,0)</x:f>
        <x:v>0</x:v>
      </x:c>
      <x:c r="I55" s="205" t="n">
        <x:f>IFERROR(SUMIFS('60天路线图'!$S$5:$S$304,'60天路线图'!$A$5:$A$304,A55)/COUNTIFS('60天路线图'!$A$5:$A$304,A55,'60天路线图'!$S$5:$S$304,"&lt;&gt;"),0)</x:f>
        <x:v>0</x:v>
      </x:c>
      <x:c r="J55" s="177" t="n">
        <x:f>SUMIFS('60天路线图'!$T$5:$T$304,'60天路线图'!$A$5:$A$304,A55)</x:f>
        <x:v>0</x:v>
      </x:c>
      <x:c r="K55" s="151" t="str">
        <x:v>交错复盘：回溯、区间与贪心、矩阵与模拟、动态规划</x:v>
      </x:c>
      <x:c r="L55" s="112"/>
    </x:row>
    <x:row r="56" ht="32" customHeight="1">
      <x:c r="A56" s="99" t="n">
        <x:v>50</x:v>
      </x:c>
      <x:c r="B56" s="145" t="str">
        <x:v>阶段五 交错限时模拟</x:v>
      </x:c>
      <x:c r="C56" s="145" t="n">
        <x:v>0</x:v>
      </x:c>
      <x:c r="D56" s="145" t="n">
        <x:v>5</x:v>
      </x:c>
      <x:c r="E56" s="145" t="n">
        <x:v>5</x:v>
      </x:c>
      <x:c r="F56" s="177" t="n">
        <x:v>73</x:v>
      </x:c>
      <x:c r="G56" s="145" t="n">
        <x:f>COUNTIFS('60天路线图'!$A$5:$A$304,A56,'60天路线图'!$R$5:$R$304,"已完成")</x:f>
        <x:v>0</x:v>
      </x:c>
      <x:c r="H56" s="199" t="n">
        <x:f>IFERROR(G56/E56,0)</x:f>
        <x:v>0</x:v>
      </x:c>
      <x:c r="I56" s="205" t="n">
        <x:f>IFERROR(SUMIFS('60天路线图'!$S$5:$S$304,'60天路线图'!$A$5:$A$304,A56)/COUNTIFS('60天路线图'!$A$5:$A$304,A56,'60天路线图'!$S$5:$S$304,"&lt;&gt;"),0)</x:f>
        <x:v>0</x:v>
      </x:c>
      <x:c r="J56" s="177" t="n">
        <x:f>SUMIFS('60天路线图'!$T$5:$T$304,'60天路线图'!$A$5:$A$304,A56)</x:f>
        <x:v>0</x:v>
      </x:c>
      <x:c r="K56" s="151" t="str">
        <x:v>交错复盘：动态规划、单调栈、回溯、字符串与动态规划</x:v>
      </x:c>
      <x:c r="L56" s="112"/>
    </x:row>
    <x:row r="57" ht="32" customHeight="1">
      <x:c r="A57" s="99" t="n">
        <x:v>51</x:v>
      </x:c>
      <x:c r="B57" s="145" t="str">
        <x:v>阶段五 交错限时模拟</x:v>
      </x:c>
      <x:c r="C57" s="145" t="n">
        <x:v>0</x:v>
      </x:c>
      <x:c r="D57" s="145" t="n">
        <x:v>5</x:v>
      </x:c>
      <x:c r="E57" s="145" t="n">
        <x:v>5</x:v>
      </x:c>
      <x:c r="F57" s="177" t="n">
        <x:v>75</x:v>
      </x:c>
      <x:c r="G57" s="145" t="n">
        <x:f>COUNTIFS('60天路线图'!$A$5:$A$304,A57,'60天路线图'!$R$5:$R$304,"已完成")</x:f>
        <x:v>0</x:v>
      </x:c>
      <x:c r="H57" s="199" t="n">
        <x:f>IFERROR(G57/E57,0)</x:f>
        <x:v>0</x:v>
      </x:c>
      <x:c r="I57" s="205" t="n">
        <x:f>IFERROR(SUMIFS('60天路线图'!$S$5:$S$304,'60天路线图'!$A$5:$A$304,A57)/COUNTIFS('60天路线图'!$A$5:$A$304,A57,'60天路线图'!$S$5:$S$304,"&lt;&gt;"),0)</x:f>
        <x:v>0</x:v>
      </x:c>
      <x:c r="J57" s="177" t="n">
        <x:f>SUMIFS('60天路线图'!$T$5:$T$304,'60天路线图'!$A$5:$A$304,A57)</x:f>
        <x:v>0</x:v>
      </x:c>
      <x:c r="K57" s="151" t="str">
        <x:v>交错复盘：动态规划、二叉树、回溯、双指针</x:v>
      </x:c>
      <x:c r="L57" s="112"/>
    </x:row>
    <x:row r="58" ht="32" customHeight="1">
      <x:c r="A58" s="99" t="n">
        <x:v>52</x:v>
      </x:c>
      <x:c r="B58" s="145" t="str">
        <x:v>阶段五 交错限时模拟</x:v>
      </x:c>
      <x:c r="C58" s="145" t="n">
        <x:v>0</x:v>
      </x:c>
      <x:c r="D58" s="145" t="n">
        <x:v>5</x:v>
      </x:c>
      <x:c r="E58" s="145" t="n">
        <x:v>5</x:v>
      </x:c>
      <x:c r="F58" s="177" t="n">
        <x:v>78</x:v>
      </x:c>
      <x:c r="G58" s="145" t="n">
        <x:f>COUNTIFS('60天路线图'!$A$5:$A$304,A58,'60天路线图'!$R$5:$R$304,"已完成")</x:f>
        <x:v>0</x:v>
      </x:c>
      <x:c r="H58" s="199" t="n">
        <x:f>IFERROR(G58/E58,0)</x:f>
        <x:v>0</x:v>
      </x:c>
      <x:c r="I58" s="205" t="n">
        <x:f>IFERROR(SUMIFS('60天路线图'!$S$5:$S$304,'60天路线图'!$A$5:$A$304,A58)/COUNTIFS('60天路线图'!$A$5:$A$304,A58,'60天路线图'!$S$5:$S$304,"&lt;&gt;"),0)</x:f>
        <x:v>0</x:v>
      </x:c>
      <x:c r="J58" s="177" t="n">
        <x:f>SUMIFS('60天路线图'!$T$5:$T$304,'60天路线图'!$A$5:$A$304,A58)</x:f>
        <x:v>0</x:v>
      </x:c>
      <x:c r="K58" s="151" t="str">
        <x:v>交错复盘：位运算、位运算与动态规划、动态规划、滑动窗口</x:v>
      </x:c>
      <x:c r="L58" s="112"/>
    </x:row>
    <x:row r="59" ht="32" customHeight="1">
      <x:c r="A59" s="99" t="n">
        <x:v>53</x:v>
      </x:c>
      <x:c r="B59" s="145" t="str">
        <x:v>阶段六 面试冲刺与错题回收</x:v>
      </x:c>
      <x:c r="C59" s="145" t="n">
        <x:v>0</x:v>
      </x:c>
      <x:c r="D59" s="145" t="n">
        <x:v>5</x:v>
      </x:c>
      <x:c r="E59" s="145" t="n">
        <x:v>5</x:v>
      </x:c>
      <x:c r="F59" s="177" t="n">
        <x:v>88</x:v>
      </x:c>
      <x:c r="G59" s="145" t="n">
        <x:f>COUNTIFS('60天路线图'!$A$5:$A$304,A59,'60天路线图'!$R$5:$R$304,"已完成")</x:f>
        <x:v>0</x:v>
      </x:c>
      <x:c r="H59" s="199" t="n">
        <x:f>IFERROR(G59/E59,0)</x:f>
        <x:v>0</x:v>
      </x:c>
      <x:c r="I59" s="205" t="n">
        <x:f>IFERROR(SUMIFS('60天路线图'!$S$5:$S$304,'60天路线图'!$A$5:$A$304,A59)/COUNTIFS('60天路线图'!$A$5:$A$304,A59,'60天路线图'!$S$5:$S$304,"&lt;&gt;"),0)</x:f>
        <x:v>0</x:v>
      </x:c>
      <x:c r="J59" s="177" t="n">
        <x:f>SUMIFS('60天路线图'!$T$5:$T$304,'60天路线图'!$A$5:$A$304,A59)</x:f>
        <x:v>0</x:v>
      </x:c>
      <x:c r="K59" s="151" t="str">
        <x:v>交错复盘：图论、堆与贪心、二叉搜索树、设计</x:v>
      </x:c>
      <x:c r="L59" s="112"/>
    </x:row>
    <x:row r="60" ht="32" customHeight="1">
      <x:c r="A60" s="99" t="n">
        <x:v>54</x:v>
      </x:c>
      <x:c r="B60" s="145" t="str">
        <x:v>阶段六 面试冲刺与错题回收</x:v>
      </x:c>
      <x:c r="C60" s="145" t="n">
        <x:v>0</x:v>
      </x:c>
      <x:c r="D60" s="145" t="n">
        <x:v>5</x:v>
      </x:c>
      <x:c r="E60" s="145" t="n">
        <x:v>5</x:v>
      </x:c>
      <x:c r="F60" s="177" t="n">
        <x:v>83</x:v>
      </x:c>
      <x:c r="G60" s="145" t="n">
        <x:f>COUNTIFS('60天路线图'!$A$5:$A$304,A60,'60天路线图'!$R$5:$R$304,"已完成")</x:f>
        <x:v>0</x:v>
      </x:c>
      <x:c r="H60" s="199" t="n">
        <x:f>IFERROR(G60/E60,0)</x:f>
        <x:v>0</x:v>
      </x:c>
      <x:c r="I60" s="205" t="n">
        <x:f>IFERROR(SUMIFS('60天路线图'!$S$5:$S$304,'60天路线图'!$A$5:$A$304,A60)/COUNTIFS('60天路线图'!$A$5:$A$304,A60,'60天路线图'!$S$5:$S$304,"&lt;&gt;"),0)</x:f>
        <x:v>0</x:v>
      </x:c>
      <x:c r="J60" s="177" t="n">
        <x:f>SUMIFS('60天路线图'!$T$5:$T$304,'60天路线图'!$A$5:$A$304,A60)</x:f>
        <x:v>0</x:v>
      </x:c>
      <x:c r="K60" s="151" t="str">
        <x:v>交错复盘：图论、滑动窗口、二叉树、堆与优先队列</x:v>
      </x:c>
      <x:c r="L60" s="112"/>
    </x:row>
    <x:row r="61" ht="32" customHeight="1">
      <x:c r="A61" s="99" t="n">
        <x:v>55</x:v>
      </x:c>
      <x:c r="B61" s="145" t="str">
        <x:v>阶段六 面试冲刺与错题回收</x:v>
      </x:c>
      <x:c r="C61" s="145" t="n">
        <x:v>0</x:v>
      </x:c>
      <x:c r="D61" s="145" t="n">
        <x:v>5</x:v>
      </x:c>
      <x:c r="E61" s="145" t="n">
        <x:v>5</x:v>
      </x:c>
      <x:c r="F61" s="177" t="n">
        <x:v>93</x:v>
      </x:c>
      <x:c r="G61" s="145" t="n">
        <x:f>COUNTIFS('60天路线图'!$A$5:$A$304,A61,'60天路线图'!$R$5:$R$304,"已完成")</x:f>
        <x:v>0</x:v>
      </x:c>
      <x:c r="H61" s="199" t="n">
        <x:f>IFERROR(G61/E61,0)</x:f>
        <x:v>0</x:v>
      </x:c>
      <x:c r="I61" s="205" t="n">
        <x:f>IFERROR(SUMIFS('60天路线图'!$S$5:$S$304,'60天路线图'!$A$5:$A$304,A61)/COUNTIFS('60天路线图'!$A$5:$A$304,A61,'60天路线图'!$S$5:$S$304,"&lt;&gt;"),0)</x:f>
        <x:v>0</x:v>
      </x:c>
      <x:c r="J61" s="177" t="n">
        <x:f>SUMIFS('60天路线图'!$T$5:$T$304,'60天路线图'!$A$5:$A$304,A61)</x:f>
        <x:v>0</x:v>
      </x:c>
      <x:c r="K61" s="151" t="str">
        <x:v>交错复盘：图论、栈与队列、动态规划与二分、单调栈</x:v>
      </x:c>
      <x:c r="L61" s="112"/>
    </x:row>
    <x:row r="62" ht="32" customHeight="1">
      <x:c r="A62" s="99" t="n">
        <x:v>56</x:v>
      </x:c>
      <x:c r="B62" s="145" t="str">
        <x:v>阶段六 面试冲刺与错题回收</x:v>
      </x:c>
      <x:c r="C62" s="145" t="n">
        <x:v>0</x:v>
      </x:c>
      <x:c r="D62" s="145" t="n">
        <x:v>5</x:v>
      </x:c>
      <x:c r="E62" s="145" t="n">
        <x:v>5</x:v>
      </x:c>
      <x:c r="F62" s="177" t="n">
        <x:v>70</x:v>
      </x:c>
      <x:c r="G62" s="145" t="n">
        <x:f>COUNTIFS('60天路线图'!$A$5:$A$304,A62,'60天路线图'!$R$5:$R$304,"已完成")</x:f>
        <x:v>0</x:v>
      </x:c>
      <x:c r="H62" s="199" t="n">
        <x:f>IFERROR(G62/E62,0)</x:f>
        <x:v>0</x:v>
      </x:c>
      <x:c r="I62" s="205" t="n">
        <x:f>IFERROR(SUMIFS('60天路线图'!$S$5:$S$304,'60天路线图'!$A$5:$A$304,A62)/COUNTIFS('60天路线图'!$A$5:$A$304,A62,'60天路线图'!$S$5:$S$304,"&lt;&gt;"),0)</x:f>
        <x:v>0</x:v>
      </x:c>
      <x:c r="J62" s="177" t="n">
        <x:f>SUMIFS('60天路线图'!$T$5:$T$304,'60天路线图'!$A$5:$A$304,A62)</x:f>
        <x:v>0</x:v>
      </x:c>
      <x:c r="K62" s="151" t="str">
        <x:v>交错复盘：双指针、滑动窗口、链表、单调队列</x:v>
      </x:c>
      <x:c r="L62" s="112"/>
    </x:row>
    <x:row r="63" ht="32" customHeight="1">
      <x:c r="A63" s="99" t="n">
        <x:v>57</x:v>
      </x:c>
      <x:c r="B63" s="145" t="str">
        <x:v>阶段六 面试冲刺与错题回收</x:v>
      </x:c>
      <x:c r="C63" s="145" t="n">
        <x:v>0</x:v>
      </x:c>
      <x:c r="D63" s="145" t="n">
        <x:v>5</x:v>
      </x:c>
      <x:c r="E63" s="145" t="n">
        <x:v>5</x:v>
      </x:c>
      <x:c r="F63" s="177" t="n">
        <x:v>61</x:v>
      </x:c>
      <x:c r="G63" s="145" t="n">
        <x:f>COUNTIFS('60天路线图'!$A$5:$A$304,A63,'60天路线图'!$R$5:$R$304,"已完成")</x:f>
        <x:v>0</x:v>
      </x:c>
      <x:c r="H63" s="199" t="n">
        <x:f>IFERROR(G63/E63,0)</x:f>
        <x:v>0</x:v>
      </x:c>
      <x:c r="I63" s="205" t="n">
        <x:f>IFERROR(SUMIFS('60天路线图'!$S$5:$S$304,'60天路线图'!$A$5:$A$304,A63)/COUNTIFS('60天路线图'!$A$5:$A$304,A63,'60天路线图'!$S$5:$S$304,"&lt;&gt;"),0)</x:f>
        <x:v>0</x:v>
      </x:c>
      <x:c r="J63" s="177" t="n">
        <x:f>SUMIFS('60天路线图'!$T$5:$T$304,'60天路线图'!$A$5:$A$304,A63)</x:f>
        <x:v>0</x:v>
      </x:c>
      <x:c r="K63" s="151" t="str">
        <x:v>交错复盘：二叉树、链表、回溯、堆与优先队列</x:v>
      </x:c>
      <x:c r="L63" s="112"/>
    </x:row>
    <x:row r="64" ht="32" customHeight="1">
      <x:c r="A64" s="99" t="n">
        <x:v>58</x:v>
      </x:c>
      <x:c r="B64" s="145" t="str">
        <x:v>阶段六 面试冲刺与错题回收</x:v>
      </x:c>
      <x:c r="C64" s="145" t="n">
        <x:v>0</x:v>
      </x:c>
      <x:c r="D64" s="145" t="n">
        <x:v>5</x:v>
      </x:c>
      <x:c r="E64" s="145" t="n">
        <x:v>5</x:v>
      </x:c>
      <x:c r="F64" s="177" t="n">
        <x:v>69</x:v>
      </x:c>
      <x:c r="G64" s="145" t="n">
        <x:f>COUNTIFS('60天路线图'!$A$5:$A$304,A64,'60天路线图'!$R$5:$R$304,"已完成")</x:f>
        <x:v>0</x:v>
      </x:c>
      <x:c r="H64" s="199" t="n">
        <x:f>IFERROR(G64/E64,0)</x:f>
        <x:v>0</x:v>
      </x:c>
      <x:c r="I64" s="205" t="n">
        <x:f>IFERROR(SUMIFS('60天路线图'!$S$5:$S$304,'60天路线图'!$A$5:$A$304,A64)/COUNTIFS('60天路线图'!$A$5:$A$304,A64,'60天路线图'!$S$5:$S$304,"&lt;&gt;"),0)</x:f>
        <x:v>0</x:v>
      </x:c>
      <x:c r="J64" s="177" t="n">
        <x:f>SUMIFS('60天路线图'!$T$5:$T$304,'60天路线图'!$A$5:$A$304,A64)</x:f>
        <x:v>0</x:v>
      </x:c>
      <x:c r="K64" s="151" t="str">
        <x:v>交错复盘：回溯、贪心、动态规划、区间与贪心</x:v>
      </x:c>
      <x:c r="L64" s="112"/>
    </x:row>
    <x:row r="65" ht="32" customHeight="1">
      <x:c r="A65" s="99" t="n">
        <x:v>59</x:v>
      </x:c>
      <x:c r="B65" s="145" t="str">
        <x:v>阶段六 面试冲刺与错题回收</x:v>
      </x:c>
      <x:c r="C65" s="145" t="n">
        <x:v>0</x:v>
      </x:c>
      <x:c r="D65" s="145" t="n">
        <x:v>5</x:v>
      </x:c>
      <x:c r="E65" s="145" t="n">
        <x:v>5</x:v>
      </x:c>
      <x:c r="F65" s="177" t="n">
        <x:v>72</x:v>
      </x:c>
      <x:c r="G65" s="145" t="n">
        <x:f>COUNTIFS('60天路线图'!$A$5:$A$304,A65,'60天路线图'!$R$5:$R$304,"已完成")</x:f>
        <x:v>0</x:v>
      </x:c>
      <x:c r="H65" s="199" t="n">
        <x:f>IFERROR(G65/E65,0)</x:f>
        <x:v>0</x:v>
      </x:c>
      <x:c r="I65" s="205" t="n">
        <x:f>IFERROR(SUMIFS('60天路线图'!$S$5:$S$304,'60天路线图'!$A$5:$A$304,A65)/COUNTIFS('60天路线图'!$A$5:$A$304,A65,'60天路线图'!$S$5:$S$304,"&lt;&gt;"),0)</x:f>
        <x:v>0</x:v>
      </x:c>
      <x:c r="J65" s="177" t="n">
        <x:f>SUMIFS('60天路线图'!$T$5:$T$304,'60天路线图'!$A$5:$A$304,A65)</x:f>
        <x:v>0</x:v>
      </x:c>
      <x:c r="K65" s="151" t="str">
        <x:v>交错复盘：回溯、区间与贪心、动态规划、单调栈</x:v>
      </x:c>
      <x:c r="L65" s="112"/>
    </x:row>
    <x:row r="66" ht="32" customHeight="1">
      <x:c r="A66" s="100" t="n">
        <x:v>60</x:v>
      </x:c>
      <x:c r="B66" s="146" t="str">
        <x:v>阶段六 面试冲刺与错题回收</x:v>
      </x:c>
      <x:c r="C66" s="146" t="n">
        <x:v>0</x:v>
      </x:c>
      <x:c r="D66" s="146" t="n">
        <x:v>5</x:v>
      </x:c>
      <x:c r="E66" s="146" t="n">
        <x:v>5</x:v>
      </x:c>
      <x:c r="F66" s="178" t="n">
        <x:v>71</x:v>
      </x:c>
      <x:c r="G66" s="146" t="n">
        <x:f>COUNTIFS('60天路线图'!$A$5:$A$304,A66,'60天路线图'!$R$5:$R$304,"已完成")</x:f>
        <x:v>0</x:v>
      </x:c>
      <x:c r="H66" s="200" t="n">
        <x:f>IFERROR(G66/E66,0)</x:f>
        <x:v>0</x:v>
      </x:c>
      <x:c r="I66" s="206" t="n">
        <x:f>IFERROR(SUMIFS('60天路线图'!$S$5:$S$304,'60天路线图'!$A$5:$A$304,A66)/COUNTIFS('60天路线图'!$A$5:$A$304,A66,'60天路线图'!$S$5:$S$304,"&lt;&gt;"),0)</x:f>
        <x:v>0</x:v>
      </x:c>
      <x:c r="J66" s="178" t="n">
        <x:f>SUMIFS('60天路线图'!$T$5:$T$304,'60天路线图'!$A$5:$A$304,A66)</x:f>
        <x:v>0</x:v>
      </x:c>
      <x:c r="K66" s="152" t="str">
        <x:v>交错复盘：位运算、位运算与动态规划、动态规划、图论</x:v>
      </x:c>
      <x:c r="L66" s="113"/>
    </x:row>
  </x:sheetData>
  <x:mergeCells>
    <x:mergeCell ref="A1:W1"/>
    <x:mergeCell ref="A2:W2"/>
  </x:mergeCells>
  <x:conditionalFormatting sqref="H7:H66">
    <x:cfRule type="dataBar" priority="1">
      <x:dataBar>
        <x:cfvo type="min"/>
        <x:cfvo type="max"/>
        <x:color rgb="FF0F766E"/>
      </x:dataBar>
      <x:extLst>
        <x:ext xmlns:x14="http://schemas.microsoft.com/office/spreadsheetml/2009/9/main" uri="{B025F937-C7B1-47D3-B67F-A62EFF666E3E}">
          <x14:id>{82B89A0A-BC7D-3B8E-2815-7253E1E9DFE8}</x14:id>
        </x:ext>
      </x:extLst>
    </x:cfRule>
  </x:conditionalFormatting>
  <x:conditionalFormatting sqref="I7:I66">
    <x:cfRule type="colorScale" priority="2">
      <x:colorScale>
        <x:cfvo type="min"/>
        <x:cfvo type="percentile" val="50"/>
        <x:cfvo type="max"/>
        <x:color rgb="FFFDECEC"/>
        <x:color rgb="FFFFF8DB"/>
        <x:color rgb="FFEAF7EE"/>
      </x:colorScale>
    </x:cfRule>
  </x:conditionalFormatting>
  <x:conditionalFormatting sqref="G7:G66">
    <x:cfRule type="cellIs" dxfId="13" priority="3" operator="equal">
      <x:formula>5</x:formula>
    </x:cfRule>
  </x:conditionalFormatting>
  <x:pageMargins left="0.7" right="0.7" top="0.75" bottom="0.75" header="0.3" footer="0.3"/>
  <x:drawing xmlns:r="http://schemas.openxmlformats.org/officeDocument/2006/relationships" r:id="R1a9dd32c71b94012"/>
  <x:tableParts count="1">
    <x:tablePart xmlns:r="http://schemas.openxmlformats.org/officeDocument/2006/relationships" r:id="Re3e10024bbde4015"/>
  </x:tableParts>
  <x:extLst>
    <x:ext xmlns:x14="http://schemas.microsoft.com/office/spreadsheetml/2009/9/main" xmlns:xm="http://schemas.microsoft.com/office/excel/2006/main" uri="{78C0D931-6437-407d-A8EE-F0AAD7539E65}">
      <x14:conditionalFormattings>
        <x14:conditionalFormatting>
          <x14:cfRule type="dataBar" priority="1" id="{82B89A0A-BC7D-3B8E-2815-7253E1E9DFE8}">
            <x14:dataBar gradient="1">
              <x14:cfvo type="min"/>
              <x14:cfvo type="max"/>
              <x14:fillColor rgb="FF0F766E"/>
            </x14:dataBar>
          </x14:cfRule>
          <xm:sqref>H7:H66</xm:sqref>
        </x14:conditionalFormatting>
      </x14:conditionalFormattings>
    </x:ext>
  </x:extLst>
</x:worksheet>
</file>

<file path=xl/worksheets/sheet4.xml><?xml version="1.0" encoding="utf-8"?>
<x:worksheet xmlns:x="http://schemas.openxmlformats.org/spreadsheetml/2006/main">
  <x:sheetFormatPr defaultRowHeight="15"/>
  <x:cols>
    <x:col min="1" max="1" width="8" hidden="0" customWidth="1"/>
    <x:col min="2" max="2" width="9" hidden="0" customWidth="1"/>
    <x:col min="3" max="3" width="23" hidden="0" customWidth="1"/>
    <x:col min="4" max="4" width="28" hidden="0" customWidth="1"/>
    <x:col min="5" max="5" width="9" hidden="0" customWidth="1"/>
    <x:col min="6" max="6" width="19" hidden="0" customWidth="1"/>
    <x:col min="7" max="7" width="20" hidden="0" customWidth="1"/>
    <x:col min="8" max="8" width="27" hidden="0" customWidth="1"/>
    <x:col min="9" max="9" width="19" hidden="0" customWidth="1"/>
    <x:col min="10" max="10" width="10" hidden="0" customWidth="1"/>
    <x:col min="11" max="11" width="14" hidden="0" customWidth="1"/>
    <x:col min="12" max="12" width="14" hidden="0" customWidth="1"/>
    <x:col min="13" max="13" width="11" hidden="0" customWidth="1"/>
    <x:col min="14" max="14" width="11" hidden="0" customWidth="1"/>
    <x:col min="15" max="15" width="14" hidden="0" customWidth="1"/>
    <x:col min="16" max="16" width="11" hidden="0" customWidth="1"/>
    <x:col min="17" max="17" width="40" hidden="0" customWidth="1"/>
    <x:col min="18" max="18" width="42" hidden="0" customWidth="1"/>
  </x:cols>
  <x:sheetData>
    <x:row r="1" ht="36" customHeight="1">
      <x:c r="A1" s="5" t="str">
        <x:v>一百道核心题库与复习窗口</x:v>
      </x:c>
      <x:c r="B1" s="5"/>
      <x:c r="C1" s="5"/>
      <x:c r="D1" s="5"/>
      <x:c r="E1" s="5"/>
      <x:c r="F1" s="5"/>
      <x:c r="G1" s="5"/>
      <x:c r="H1" s="5"/>
      <x:c r="I1" s="5"/>
      <x:c r="J1" s="5"/>
      <x:c r="K1" s="5"/>
      <x:c r="L1" s="5"/>
      <x:c r="M1" s="5"/>
      <x:c r="N1" s="5"/>
      <x:c r="O1" s="5"/>
      <x:c r="P1" s="5"/>
      <x:c r="Q1" s="5"/>
      <x:c r="R1" s="5"/>
    </x:row>
    <x:row r="2" ht="24" customHeight="1">
      <x:c r="A2" s="13" t="str">
        <x:v>Grind 75核心为主，配合代码随想录和Grind 169补齐美国面试常见模式。</x:v>
      </x:c>
      <x:c r="B2" s="13"/>
      <x:c r="C2" s="13"/>
      <x:c r="D2" s="13"/>
      <x:c r="E2" s="13"/>
      <x:c r="F2" s="13"/>
      <x:c r="G2" s="13"/>
      <x:c r="H2" s="13"/>
      <x:c r="I2" s="13"/>
      <x:c r="J2" s="13"/>
      <x:c r="K2" s="13"/>
      <x:c r="L2" s="13"/>
      <x:c r="M2" s="13"/>
      <x:c r="N2" s="13"/>
      <x:c r="O2" s="13"/>
      <x:c r="P2" s="13"/>
      <x:c r="Q2" s="13"/>
      <x:c r="R2" s="13"/>
    </x:row>
    <x:row r="4" ht="36" customHeight="1">
      <x:c r="A4" s="128" t="str">
        <x:v>序号</x:v>
      </x:c>
      <x:c r="B4" s="129" t="str">
        <x:v>题号</x:v>
      </x:c>
      <x:c r="C4" s="129" t="str">
        <x:v>中文题名</x:v>
      </x:c>
      <x:c r="D4" s="129" t="str">
        <x:v>English Title</x:v>
      </x:c>
      <x:c r="E4" s="129" t="str">
        <x:v>难度</x:v>
      </x:c>
      <x:c r="F4" s="129" t="str">
        <x:v>考点大类</x:v>
      </x:c>
      <x:c r="G4" s="129" t="str">
        <x:v>主专题</x:v>
      </x:c>
      <x:c r="H4" s="129" t="str">
        <x:v>核心模式</x:v>
      </x:c>
      <x:c r="I4" s="129" t="str">
        <x:v>来源</x:v>
      </x:c>
      <x:c r="J4" s="129" t="str">
        <x:v>首做日</x:v>
      </x:c>
      <x:c r="K4" s="129" t="str">
        <x:v>短间隔复做日</x:v>
      </x:c>
      <x:c r="L4" s="129" t="str">
        <x:v>长间隔复做日</x:v>
      </x:c>
      <x:c r="M4" s="129" t="str">
        <x:v>首次间隔</x:v>
      </x:c>
      <x:c r="N4" s="129" t="str">
        <x:v>长期间隔</x:v>
      </x:c>
      <x:c r="O4" s="129" t="str">
        <x:v>两次复做间隔</x:v>
      </x:c>
      <x:c r="P4" s="129" t="str">
        <x:v>新题限时</x:v>
      </x:c>
      <x:c r="Q4" s="129" t="str">
        <x:v>题目链接</x:v>
      </x:c>
      <x:c r="R4" s="130" t="str">
        <x:v>来源链接</x:v>
      </x:c>
    </x:row>
    <x:row r="5" ht="32" customHeight="1">
      <x:c r="A5" s="98" t="n">
        <x:v>1</x:v>
      </x:c>
      <x:c r="B5" s="144" t="n">
        <x:v>1</x:v>
      </x:c>
      <x:c r="C5" s="150" t="str">
        <x:v>两数之和</x:v>
      </x:c>
      <x:c r="D5" s="150" t="str">
        <x:v>Two Sum</x:v>
      </x:c>
      <x:c r="E5" s="144" t="str">
        <x:v>简单</x:v>
      </x:c>
      <x:c r="F5" s="144" t="str">
        <x:v>数组与哈希</x:v>
      </x:c>
      <x:c r="G5" s="164" t="str">
        <x:v>数组与哈希</x:v>
      </x:c>
      <x:c r="H5" s="164" t="str">
        <x:v>哈希表查补数</x:v>
      </x:c>
      <x:c r="I5" s="164" t="str">
        <x:v>Grind 75核心</x:v>
      </x:c>
      <x:c r="J5" s="144" t="n">
        <x:v>1</x:v>
      </x:c>
      <x:c r="K5" s="144" t="n">
        <x:v>3</x:v>
      </x:c>
      <x:c r="L5" s="144" t="n">
        <x:v>19</x:v>
      </x:c>
      <x:c r="M5" s="144" t="n">
        <x:v>2</x:v>
      </x:c>
      <x:c r="N5" s="144" t="n">
        <x:v>18</x:v>
      </x:c>
      <x:c r="O5" s="144" t="n">
        <x:v>16</x:v>
      </x:c>
      <x:c r="P5" s="176" t="n">
        <x:v>15</x:v>
      </x:c>
      <x:c r="Q5" s="150" t="str">
        <x:v>https://leetcode.com/problems/two-sum/</x:v>
      </x:c>
      <x:c r="R5" s="110" t="str">
        <x:v>https://www.techinterviewhandbook.org/grind75/</x:v>
      </x:c>
    </x:row>
    <x:row r="6" ht="32" customHeight="1">
      <x:c r="A6" s="99" t="n">
        <x:v>2</x:v>
      </x:c>
      <x:c r="B6" s="145" t="n">
        <x:v>20</x:v>
      </x:c>
      <x:c r="C6" s="151" t="str">
        <x:v>有效的括号</x:v>
      </x:c>
      <x:c r="D6" s="151" t="str">
        <x:v>Valid Parentheses</x:v>
      </x:c>
      <x:c r="E6" s="145" t="str">
        <x:v>简单</x:v>
      </x:c>
      <x:c r="F6" s="145" t="str">
        <x:v>栈与队列</x:v>
      </x:c>
      <x:c r="G6" s="165" t="str">
        <x:v>栈与队列</x:v>
      </x:c>
      <x:c r="H6" s="165" t="str">
        <x:v>栈与括号匹配</x:v>
      </x:c>
      <x:c r="I6" s="165" t="str">
        <x:v>Grind 75核心</x:v>
      </x:c>
      <x:c r="J6" s="145" t="n">
        <x:v>1</x:v>
      </x:c>
      <x:c r="K6" s="145" t="n">
        <x:v>2</x:v>
      </x:c>
      <x:c r="L6" s="145" t="n">
        <x:v>20</x:v>
      </x:c>
      <x:c r="M6" s="145" t="n">
        <x:v>1</x:v>
      </x:c>
      <x:c r="N6" s="145" t="n">
        <x:v>19</x:v>
      </x:c>
      <x:c r="O6" s="145" t="n">
        <x:v>18</x:v>
      </x:c>
      <x:c r="P6" s="177" t="n">
        <x:v>20</x:v>
      </x:c>
      <x:c r="Q6" s="151" t="str">
        <x:v>https://leetcode.com/problems/valid-parentheses/</x:v>
      </x:c>
      <x:c r="R6" s="112" t="str">
        <x:v>https://www.techinterviewhandbook.org/grind75/</x:v>
      </x:c>
    </x:row>
    <x:row r="7" ht="32" customHeight="1">
      <x:c r="A7" s="99" t="n">
        <x:v>3</x:v>
      </x:c>
      <x:c r="B7" s="145" t="n">
        <x:v>21</x:v>
      </x:c>
      <x:c r="C7" s="151" t="str">
        <x:v>合并两个有序链表</x:v>
      </x:c>
      <x:c r="D7" s="151" t="str">
        <x:v>Merge Two Sorted Lists</x:v>
      </x:c>
      <x:c r="E7" s="145" t="str">
        <x:v>简单</x:v>
      </x:c>
      <x:c r="F7" s="145" t="str">
        <x:v>链表</x:v>
      </x:c>
      <x:c r="G7" s="165" t="str">
        <x:v>链表</x:v>
      </x:c>
      <x:c r="H7" s="165" t="str">
        <x:v>归并双指针</x:v>
      </x:c>
      <x:c r="I7" s="165" t="str">
        <x:v>Grind 75核心</x:v>
      </x:c>
      <x:c r="J7" s="145" t="n">
        <x:v>1</x:v>
      </x:c>
      <x:c r="K7" s="145" t="n">
        <x:v>2</x:v>
      </x:c>
      <x:c r="L7" s="145" t="n">
        <x:v>21</x:v>
      </x:c>
      <x:c r="M7" s="145" t="n">
        <x:v>1</x:v>
      </x:c>
      <x:c r="N7" s="145" t="n">
        <x:v>20</x:v>
      </x:c>
      <x:c r="O7" s="145" t="n">
        <x:v>19</x:v>
      </x:c>
      <x:c r="P7" s="177" t="n">
        <x:v>20</x:v>
      </x:c>
      <x:c r="Q7" s="151" t="str">
        <x:v>https://leetcode.com/problems/merge-two-sorted-lists/</x:v>
      </x:c>
      <x:c r="R7" s="112" t="str">
        <x:v>https://www.techinterviewhandbook.org/grind75/</x:v>
      </x:c>
    </x:row>
    <x:row r="8" ht="32" customHeight="1">
      <x:c r="A8" s="99" t="n">
        <x:v>4</x:v>
      </x:c>
      <x:c r="B8" s="145" t="n">
        <x:v>121</x:v>
      </x:c>
      <x:c r="C8" s="151" t="str">
        <x:v>买卖股票的最佳时机</x:v>
      </x:c>
      <x:c r="D8" s="151" t="str">
        <x:v>Best Time to Buy and Sell Stock</x:v>
      </x:c>
      <x:c r="E8" s="145" t="str">
        <x:v>简单</x:v>
      </x:c>
      <x:c r="F8" s="145" t="str">
        <x:v>贪心与区间</x:v>
      </x:c>
      <x:c r="G8" s="165" t="str">
        <x:v>数组与贪心</x:v>
      </x:c>
      <x:c r="H8" s="165" t="str">
        <x:v>维护历史最小值</x:v>
      </x:c>
      <x:c r="I8" s="165" t="str">
        <x:v>Grind 75核心</x:v>
      </x:c>
      <x:c r="J8" s="145" t="n">
        <x:v>1</x:v>
      </x:c>
      <x:c r="K8" s="145" t="n">
        <x:v>3</x:v>
      </x:c>
      <x:c r="L8" s="145" t="n">
        <x:v>21</x:v>
      </x:c>
      <x:c r="M8" s="145" t="n">
        <x:v>2</x:v>
      </x:c>
      <x:c r="N8" s="145" t="n">
        <x:v>20</x:v>
      </x:c>
      <x:c r="O8" s="145" t="n">
        <x:v>18</x:v>
      </x:c>
      <x:c r="P8" s="177" t="n">
        <x:v>20</x:v>
      </x:c>
      <x:c r="Q8" s="151" t="str">
        <x:v>https://leetcode.com/problems/best-time-to-buy-and-sell-stock/</x:v>
      </x:c>
      <x:c r="R8" s="112" t="str">
        <x:v>https://www.techinterviewhandbook.org/grind75/</x:v>
      </x:c>
    </x:row>
    <x:row r="9" ht="32" customHeight="1">
      <x:c r="A9" s="99" t="n">
        <x:v>5</x:v>
      </x:c>
      <x:c r="B9" s="145" t="n">
        <x:v>125</x:v>
      </x:c>
      <x:c r="C9" s="151" t="str">
        <x:v>验证回文串</x:v>
      </x:c>
      <x:c r="D9" s="151" t="str">
        <x:v>Valid Palindrome</x:v>
      </x:c>
      <x:c r="E9" s="145" t="str">
        <x:v>简单</x:v>
      </x:c>
      <x:c r="F9" s="145" t="str">
        <x:v>双指针</x:v>
      </x:c>
      <x:c r="G9" s="165" t="str">
        <x:v>字符串与双指针</x:v>
      </x:c>
      <x:c r="H9" s="165" t="str">
        <x:v>对撞指针</x:v>
      </x:c>
      <x:c r="I9" s="165" t="str">
        <x:v>Grind 75核心</x:v>
      </x:c>
      <x:c r="J9" s="145" t="n">
        <x:v>1</x:v>
      </x:c>
      <x:c r="K9" s="145" t="n">
        <x:v>4</x:v>
      </x:c>
      <x:c r="L9" s="145" t="n">
        <x:v>21</x:v>
      </x:c>
      <x:c r="M9" s="145" t="n">
        <x:v>3</x:v>
      </x:c>
      <x:c r="N9" s="145" t="n">
        <x:v>20</x:v>
      </x:c>
      <x:c r="O9" s="145" t="n">
        <x:v>17</x:v>
      </x:c>
      <x:c r="P9" s="177" t="n">
        <x:v>15</x:v>
      </x:c>
      <x:c r="Q9" s="151" t="str">
        <x:v>https://leetcode.com/problems/valid-palindrome/</x:v>
      </x:c>
      <x:c r="R9" s="112" t="str">
        <x:v>https://www.techinterviewhandbook.org/grind75/</x:v>
      </x:c>
    </x:row>
    <x:row r="10" ht="32" customHeight="1">
      <x:c r="A10" s="99" t="n">
        <x:v>6</x:v>
      </x:c>
      <x:c r="B10" s="145" t="n">
        <x:v>226</x:v>
      </x:c>
      <x:c r="C10" s="151" t="str">
        <x:v>翻转二叉树</x:v>
      </x:c>
      <x:c r="D10" s="151" t="str">
        <x:v>Invert Binary Tree</x:v>
      </x:c>
      <x:c r="E10" s="145" t="str">
        <x:v>简单</x:v>
      </x:c>
      <x:c r="F10" s="145" t="str">
        <x:v>树与递归</x:v>
      </x:c>
      <x:c r="G10" s="165" t="str">
        <x:v>二叉树</x:v>
      </x:c>
      <x:c r="H10" s="165" t="str">
        <x:v>递归遍历</x:v>
      </x:c>
      <x:c r="I10" s="165" t="str">
        <x:v>Grind 75核心</x:v>
      </x:c>
      <x:c r="J10" s="145" t="n">
        <x:v>2</x:v>
      </x:c>
      <x:c r="K10" s="145" t="n">
        <x:v>4</x:v>
      </x:c>
      <x:c r="L10" s="145" t="n">
        <x:v>22</x:v>
      </x:c>
      <x:c r="M10" s="145" t="n">
        <x:v>2</x:v>
      </x:c>
      <x:c r="N10" s="145" t="n">
        <x:v>20</x:v>
      </x:c>
      <x:c r="O10" s="145" t="n">
        <x:v>18</x:v>
      </x:c>
      <x:c r="P10" s="177" t="n">
        <x:v>15</x:v>
      </x:c>
      <x:c r="Q10" s="151" t="str">
        <x:v>https://leetcode.com/problems/invert-binary-tree/</x:v>
      </x:c>
      <x:c r="R10" s="112" t="str">
        <x:v>https://www.techinterviewhandbook.org/grind75/</x:v>
      </x:c>
    </x:row>
    <x:row r="11" ht="32" customHeight="1">
      <x:c r="A11" s="99" t="n">
        <x:v>7</x:v>
      </x:c>
      <x:c r="B11" s="145" t="n">
        <x:v>242</x:v>
      </x:c>
      <x:c r="C11" s="151" t="str">
        <x:v>有效的字母异位词</x:v>
      </x:c>
      <x:c r="D11" s="151" t="str">
        <x:v>Valid Anagram</x:v>
      </x:c>
      <x:c r="E11" s="145" t="str">
        <x:v>简单</x:v>
      </x:c>
      <x:c r="F11" s="145" t="str">
        <x:v>数组与哈希</x:v>
      </x:c>
      <x:c r="G11" s="165" t="str">
        <x:v>数组与哈希</x:v>
      </x:c>
      <x:c r="H11" s="165" t="str">
        <x:v>字符频次计数</x:v>
      </x:c>
      <x:c r="I11" s="165" t="str">
        <x:v>Grind 75核心</x:v>
      </x:c>
      <x:c r="J11" s="145" t="n">
        <x:v>2</x:v>
      </x:c>
      <x:c r="K11" s="145" t="n">
        <x:v>6</x:v>
      </x:c>
      <x:c r="L11" s="145" t="n">
        <x:v>23</x:v>
      </x:c>
      <x:c r="M11" s="145" t="n">
        <x:v>4</x:v>
      </x:c>
      <x:c r="N11" s="145" t="n">
        <x:v>21</x:v>
      </x:c>
      <x:c r="O11" s="145" t="n">
        <x:v>17</x:v>
      </x:c>
      <x:c r="P11" s="177" t="n">
        <x:v>15</x:v>
      </x:c>
      <x:c r="Q11" s="151" t="str">
        <x:v>https://leetcode.com/problems/valid-anagram/</x:v>
      </x:c>
      <x:c r="R11" s="112" t="str">
        <x:v>https://www.techinterviewhandbook.org/grind75/</x:v>
      </x:c>
    </x:row>
    <x:row r="12" ht="32" customHeight="1">
      <x:c r="A12" s="99" t="n">
        <x:v>8</x:v>
      </x:c>
      <x:c r="B12" s="145" t="n">
        <x:v>704</x:v>
      </x:c>
      <x:c r="C12" s="151" t="str">
        <x:v>二分查找</x:v>
      </x:c>
      <x:c r="D12" s="151" t="str">
        <x:v>Binary Search</x:v>
      </x:c>
      <x:c r="E12" s="145" t="str">
        <x:v>简单</x:v>
      </x:c>
      <x:c r="F12" s="145" t="str">
        <x:v>二分查找</x:v>
      </x:c>
      <x:c r="G12" s="165" t="str">
        <x:v>二分查找</x:v>
      </x:c>
      <x:c r="H12" s="165" t="str">
        <x:v>区间定义与循环不变量</x:v>
      </x:c>
      <x:c r="I12" s="165" t="str">
        <x:v>Grind 75核心</x:v>
      </x:c>
      <x:c r="J12" s="145" t="n">
        <x:v>2</x:v>
      </x:c>
      <x:c r="K12" s="145" t="n">
        <x:v>5</x:v>
      </x:c>
      <x:c r="L12" s="145" t="n">
        <x:v>23</x:v>
      </x:c>
      <x:c r="M12" s="145" t="n">
        <x:v>3</x:v>
      </x:c>
      <x:c r="N12" s="145" t="n">
        <x:v>21</x:v>
      </x:c>
      <x:c r="O12" s="145" t="n">
        <x:v>18</x:v>
      </x:c>
      <x:c r="P12" s="177" t="n">
        <x:v>15</x:v>
      </x:c>
      <x:c r="Q12" s="151" t="str">
        <x:v>https://leetcode.com/problems/binary-search/</x:v>
      </x:c>
      <x:c r="R12" s="112" t="str">
        <x:v>https://www.techinterviewhandbook.org/grind75/</x:v>
      </x:c>
    </x:row>
    <x:row r="13" ht="32" customHeight="1">
      <x:c r="A13" s="99" t="n">
        <x:v>9</x:v>
      </x:c>
      <x:c r="B13" s="145" t="n">
        <x:v>733</x:v>
      </x:c>
      <x:c r="C13" s="151" t="str">
        <x:v>图像渲染</x:v>
      </x:c>
      <x:c r="D13" s="151" t="str">
        <x:v>Flood Fill</x:v>
      </x:c>
      <x:c r="E13" s="145" t="str">
        <x:v>简单</x:v>
      </x:c>
      <x:c r="F13" s="145" t="str">
        <x:v>图与并查集</x:v>
      </x:c>
      <x:c r="G13" s="165" t="str">
        <x:v>图论</x:v>
      </x:c>
      <x:c r="H13" s="165" t="str">
        <x:v>网格深搜或广搜</x:v>
      </x:c>
      <x:c r="I13" s="165" t="str">
        <x:v>Grind 75核心</x:v>
      </x:c>
      <x:c r="J13" s="145" t="n">
        <x:v>3</x:v>
      </x:c>
      <x:c r="K13" s="145" t="n">
        <x:v>5</x:v>
      </x:c>
      <x:c r="L13" s="145" t="n">
        <x:v>24</x:v>
      </x:c>
      <x:c r="M13" s="145" t="n">
        <x:v>2</x:v>
      </x:c>
      <x:c r="N13" s="145" t="n">
        <x:v>21</x:v>
      </x:c>
      <x:c r="O13" s="145" t="n">
        <x:v>19</x:v>
      </x:c>
      <x:c r="P13" s="177" t="n">
        <x:v>20</x:v>
      </x:c>
      <x:c r="Q13" s="151" t="str">
        <x:v>https://leetcode.com/problems/flood-fill/</x:v>
      </x:c>
      <x:c r="R13" s="112" t="str">
        <x:v>https://www.techinterviewhandbook.org/grind75/</x:v>
      </x:c>
    </x:row>
    <x:row r="14" ht="32" customHeight="1">
      <x:c r="A14" s="99" t="n">
        <x:v>10</x:v>
      </x:c>
      <x:c r="B14" s="145" t="n">
        <x:v>235</x:v>
      </x:c>
      <x:c r="C14" s="151" t="str">
        <x:v>二叉搜索树的最近公共祖先</x:v>
      </x:c>
      <x:c r="D14" s="151" t="str">
        <x:v>Lowest Common Ancestor of a Binary Search Tree</x:v>
      </x:c>
      <x:c r="E14" s="145" t="str">
        <x:v>中等</x:v>
      </x:c>
      <x:c r="F14" s="145" t="str">
        <x:v>树与递归</x:v>
      </x:c>
      <x:c r="G14" s="165" t="str">
        <x:v>二叉搜索树</x:v>
      </x:c>
      <x:c r="H14" s="165" t="str">
        <x:v>利用有序性质缩小范围</x:v>
      </x:c>
      <x:c r="I14" s="165" t="str">
        <x:v>Grind 75核心</x:v>
      </x:c>
      <x:c r="J14" s="145" t="n">
        <x:v>3</x:v>
      </x:c>
      <x:c r="K14" s="145" t="n">
        <x:v>6</x:v>
      </x:c>
      <x:c r="L14" s="145" t="n">
        <x:v>24</x:v>
      </x:c>
      <x:c r="M14" s="145" t="n">
        <x:v>3</x:v>
      </x:c>
      <x:c r="N14" s="145" t="n">
        <x:v>21</x:v>
      </x:c>
      <x:c r="O14" s="145" t="n">
        <x:v>18</x:v>
      </x:c>
      <x:c r="P14" s="177" t="n">
        <x:v>20</x:v>
      </x:c>
      <x:c r="Q14" s="151" t="str">
        <x:v>https://leetcode.com/problems/lowest-common-ancestor-of-a-binary-search-tree/</x:v>
      </x:c>
      <x:c r="R14" s="112" t="str">
        <x:v>https://www.techinterviewhandbook.org/grind75/</x:v>
      </x:c>
    </x:row>
    <x:row r="15" ht="32" customHeight="1">
      <x:c r="A15" s="99" t="n">
        <x:v>11</x:v>
      </x:c>
      <x:c r="B15" s="145" t="n">
        <x:v>110</x:v>
      </x:c>
      <x:c r="C15" s="151" t="str">
        <x:v>平衡二叉树</x:v>
      </x:c>
      <x:c r="D15" s="151" t="str">
        <x:v>Balanced Binary Tree</x:v>
      </x:c>
      <x:c r="E15" s="145" t="str">
        <x:v>简单</x:v>
      </x:c>
      <x:c r="F15" s="145" t="str">
        <x:v>树与递归</x:v>
      </x:c>
      <x:c r="G15" s="165" t="str">
        <x:v>二叉树</x:v>
      </x:c>
      <x:c r="H15" s="165" t="str">
        <x:v>自底向上递归</x:v>
      </x:c>
      <x:c r="I15" s="165" t="str">
        <x:v>Grind 75核心</x:v>
      </x:c>
      <x:c r="J15" s="145" t="n">
        <x:v>3</x:v>
      </x:c>
      <x:c r="K15" s="145" t="n">
        <x:v>8</x:v>
      </x:c>
      <x:c r="L15" s="145" t="n">
        <x:v>25</x:v>
      </x:c>
      <x:c r="M15" s="145" t="n">
        <x:v>5</x:v>
      </x:c>
      <x:c r="N15" s="145" t="n">
        <x:v>22</x:v>
      </x:c>
      <x:c r="O15" s="145" t="n">
        <x:v>17</x:v>
      </x:c>
      <x:c r="P15" s="177" t="n">
        <x:v>15</x:v>
      </x:c>
      <x:c r="Q15" s="151" t="str">
        <x:v>https://leetcode.com/problems/balanced-binary-tree/</x:v>
      </x:c>
      <x:c r="R15" s="112" t="str">
        <x:v>https://www.techinterviewhandbook.org/grind75/</x:v>
      </x:c>
    </x:row>
    <x:row r="16" ht="32" customHeight="1">
      <x:c r="A16" s="99" t="n">
        <x:v>12</x:v>
      </x:c>
      <x:c r="B16" s="145" t="n">
        <x:v>141</x:v>
      </x:c>
      <x:c r="C16" s="151" t="str">
        <x:v>环形链表</x:v>
      </x:c>
      <x:c r="D16" s="151" t="str">
        <x:v>Linked List Cycle</x:v>
      </x:c>
      <x:c r="E16" s="145" t="str">
        <x:v>简单</x:v>
      </x:c>
      <x:c r="F16" s="145" t="str">
        <x:v>链表</x:v>
      </x:c>
      <x:c r="G16" s="165" t="str">
        <x:v>链表</x:v>
      </x:c>
      <x:c r="H16" s="165" t="str">
        <x:v>快慢指针</x:v>
      </x:c>
      <x:c r="I16" s="165" t="str">
        <x:v>Grind 75核心</x:v>
      </x:c>
      <x:c r="J16" s="145" t="n">
        <x:v>4</x:v>
      </x:c>
      <x:c r="K16" s="145" t="n">
        <x:v>8</x:v>
      </x:c>
      <x:c r="L16" s="145" t="n">
        <x:v>25</x:v>
      </x:c>
      <x:c r="M16" s="145" t="n">
        <x:v>4</x:v>
      </x:c>
      <x:c r="N16" s="145" t="n">
        <x:v>21</x:v>
      </x:c>
      <x:c r="O16" s="145" t="n">
        <x:v>17</x:v>
      </x:c>
      <x:c r="P16" s="177" t="n">
        <x:v>20</x:v>
      </x:c>
      <x:c r="Q16" s="151" t="str">
        <x:v>https://leetcode.com/problems/linked-list-cycle/</x:v>
      </x:c>
      <x:c r="R16" s="112" t="str">
        <x:v>https://www.techinterviewhandbook.org/grind75/</x:v>
      </x:c>
    </x:row>
    <x:row r="17" ht="32" customHeight="1">
      <x:c r="A17" s="99" t="n">
        <x:v>13</x:v>
      </x:c>
      <x:c r="B17" s="145" t="n">
        <x:v>232</x:v>
      </x:c>
      <x:c r="C17" s="151" t="str">
        <x:v>用栈实现队列</x:v>
      </x:c>
      <x:c r="D17" s="151" t="str">
        <x:v>Implement Queue using Stacks</x:v>
      </x:c>
      <x:c r="E17" s="145" t="str">
        <x:v>简单</x:v>
      </x:c>
      <x:c r="F17" s="145" t="str">
        <x:v>栈与队列</x:v>
      </x:c>
      <x:c r="G17" s="165" t="str">
        <x:v>栈与队列</x:v>
      </x:c>
      <x:c r="H17" s="165" t="str">
        <x:v>双栈模拟</x:v>
      </x:c>
      <x:c r="I17" s="165" t="str">
        <x:v>Grind 75核心</x:v>
      </x:c>
      <x:c r="J17" s="145" t="n">
        <x:v>4</x:v>
      </x:c>
      <x:c r="K17" s="145" t="n">
        <x:v>7</x:v>
      </x:c>
      <x:c r="L17" s="145" t="n">
        <x:v>26</x:v>
      </x:c>
      <x:c r="M17" s="145" t="n">
        <x:v>3</x:v>
      </x:c>
      <x:c r="N17" s="145" t="n">
        <x:v>22</x:v>
      </x:c>
      <x:c r="O17" s="145" t="n">
        <x:v>19</x:v>
      </x:c>
      <x:c r="P17" s="177" t="n">
        <x:v>20</x:v>
      </x:c>
      <x:c r="Q17" s="151" t="str">
        <x:v>https://leetcode.com/problems/implement-queue-using-stacks/</x:v>
      </x:c>
      <x:c r="R17" s="112" t="str">
        <x:v>https://www.techinterviewhandbook.org/grind75/</x:v>
      </x:c>
    </x:row>
    <x:row r="18" ht="32" customHeight="1">
      <x:c r="A18" s="99" t="n">
        <x:v>14</x:v>
      </x:c>
      <x:c r="B18" s="145" t="n">
        <x:v>278</x:v>
      </x:c>
      <x:c r="C18" s="151" t="str">
        <x:v>第一个错误的版本</x:v>
      </x:c>
      <x:c r="D18" s="151" t="str">
        <x:v>First Bad Version</x:v>
      </x:c>
      <x:c r="E18" s="145" t="str">
        <x:v>简单</x:v>
      </x:c>
      <x:c r="F18" s="145" t="str">
        <x:v>二分查找</x:v>
      </x:c>
      <x:c r="G18" s="165" t="str">
        <x:v>二分查找</x:v>
      </x:c>
      <x:c r="H18" s="165" t="str">
        <x:v>左边界查找</x:v>
      </x:c>
      <x:c r="I18" s="165" t="str">
        <x:v>Grind 75核心</x:v>
      </x:c>
      <x:c r="J18" s="145" t="n">
        <x:v>4</x:v>
      </x:c>
      <x:c r="K18" s="145" t="n">
        <x:v>7</x:v>
      </x:c>
      <x:c r="L18" s="145" t="n">
        <x:v>26</x:v>
      </x:c>
      <x:c r="M18" s="145" t="n">
        <x:v>3</x:v>
      </x:c>
      <x:c r="N18" s="145" t="n">
        <x:v>22</x:v>
      </x:c>
      <x:c r="O18" s="145" t="n">
        <x:v>19</x:v>
      </x:c>
      <x:c r="P18" s="177" t="n">
        <x:v>20</x:v>
      </x:c>
      <x:c r="Q18" s="151" t="str">
        <x:v>https://leetcode.com/problems/first-bad-version/</x:v>
      </x:c>
      <x:c r="R18" s="112" t="str">
        <x:v>https://www.techinterviewhandbook.org/grind75/</x:v>
      </x:c>
    </x:row>
    <x:row r="19" ht="32" customHeight="1">
      <x:c r="A19" s="99" t="n">
        <x:v>15</x:v>
      </x:c>
      <x:c r="B19" s="145" t="n">
        <x:v>383</x:v>
      </x:c>
      <x:c r="C19" s="151" t="str">
        <x:v>赎金信</x:v>
      </x:c>
      <x:c r="D19" s="151" t="str">
        <x:v>Ransom Note</x:v>
      </x:c>
      <x:c r="E19" s="145" t="str">
        <x:v>简单</x:v>
      </x:c>
      <x:c r="F19" s="145" t="str">
        <x:v>数组与哈希</x:v>
      </x:c>
      <x:c r="G19" s="165" t="str">
        <x:v>数组与哈希</x:v>
      </x:c>
      <x:c r="H19" s="165" t="str">
        <x:v>字符频次计数</x:v>
      </x:c>
      <x:c r="I19" s="165" t="str">
        <x:v>Grind 75核心</x:v>
      </x:c>
      <x:c r="J19" s="145" t="n">
        <x:v>5</x:v>
      </x:c>
      <x:c r="K19" s="145" t="n">
        <x:v>9</x:v>
      </x:c>
      <x:c r="L19" s="145" t="n">
        <x:v>27</x:v>
      </x:c>
      <x:c r="M19" s="145" t="n">
        <x:v>4</x:v>
      </x:c>
      <x:c r="N19" s="145" t="n">
        <x:v>22</x:v>
      </x:c>
      <x:c r="O19" s="145" t="n">
        <x:v>18</x:v>
      </x:c>
      <x:c r="P19" s="177" t="n">
        <x:v>15</x:v>
      </x:c>
      <x:c r="Q19" s="151" t="str">
        <x:v>https://leetcode.com/problems/ransom-note/</x:v>
      </x:c>
      <x:c r="R19" s="112" t="str">
        <x:v>https://www.techinterviewhandbook.org/grind75/</x:v>
      </x:c>
    </x:row>
    <x:row r="20" ht="32" customHeight="1">
      <x:c r="A20" s="99" t="n">
        <x:v>16</x:v>
      </x:c>
      <x:c r="B20" s="145" t="n">
        <x:v>70</x:v>
      </x:c>
      <x:c r="C20" s="151" t="str">
        <x:v>爬楼梯</x:v>
      </x:c>
      <x:c r="D20" s="151" t="str">
        <x:v>Climbing Stairs</x:v>
      </x:c>
      <x:c r="E20" s="145" t="str">
        <x:v>简单</x:v>
      </x:c>
      <x:c r="F20" s="145" t="str">
        <x:v>动态规划</x:v>
      </x:c>
      <x:c r="G20" s="165" t="str">
        <x:v>动态规划</x:v>
      </x:c>
      <x:c r="H20" s="165" t="str">
        <x:v>一维状态转移</x:v>
      </x:c>
      <x:c r="I20" s="165" t="str">
        <x:v>Grind 75核心</x:v>
      </x:c>
      <x:c r="J20" s="145" t="n">
        <x:v>5</x:v>
      </x:c>
      <x:c r="K20" s="145" t="n">
        <x:v>9</x:v>
      </x:c>
      <x:c r="L20" s="145" t="n">
        <x:v>28</x:v>
      </x:c>
      <x:c r="M20" s="145" t="n">
        <x:v>4</x:v>
      </x:c>
      <x:c r="N20" s="145" t="n">
        <x:v>23</x:v>
      </x:c>
      <x:c r="O20" s="145" t="n">
        <x:v>19</x:v>
      </x:c>
      <x:c r="P20" s="177" t="n">
        <x:v>20</x:v>
      </x:c>
      <x:c r="Q20" s="151" t="str">
        <x:v>https://leetcode.com/problems/climbing-stairs/</x:v>
      </x:c>
      <x:c r="R20" s="112" t="str">
        <x:v>https://www.techinterviewhandbook.org/grind75/</x:v>
      </x:c>
    </x:row>
    <x:row r="21" ht="32" customHeight="1">
      <x:c r="A21" s="99" t="n">
        <x:v>17</x:v>
      </x:c>
      <x:c r="B21" s="145" t="n">
        <x:v>409</x:v>
      </x:c>
      <x:c r="C21" s="151" t="str">
        <x:v>最长回文串</x:v>
      </x:c>
      <x:c r="D21" s="151" t="str">
        <x:v>Longest Palindrome</x:v>
      </x:c>
      <x:c r="E21" s="145" t="str">
        <x:v>简单</x:v>
      </x:c>
      <x:c r="F21" s="145" t="str">
        <x:v>字符串</x:v>
      </x:c>
      <x:c r="G21" s="165" t="str">
        <x:v>字符串与哈希</x:v>
      </x:c>
      <x:c r="H21" s="165" t="str">
        <x:v>频次奇偶性</x:v>
      </x:c>
      <x:c r="I21" s="165" t="str">
        <x:v>Grind 75核心</x:v>
      </x:c>
      <x:c r="J21" s="145" t="n">
        <x:v>5</x:v>
      </x:c>
      <x:c r="K21" s="145" t="n">
        <x:v>9</x:v>
      </x:c>
      <x:c r="L21" s="145" t="n">
        <x:v>28</x:v>
      </x:c>
      <x:c r="M21" s="145" t="n">
        <x:v>4</x:v>
      </x:c>
      <x:c r="N21" s="145" t="n">
        <x:v>23</x:v>
      </x:c>
      <x:c r="O21" s="145" t="n">
        <x:v>19</x:v>
      </x:c>
      <x:c r="P21" s="177" t="n">
        <x:v>20</x:v>
      </x:c>
      <x:c r="Q21" s="151" t="str">
        <x:v>https://leetcode.com/problems/longest-palindrome/</x:v>
      </x:c>
      <x:c r="R21" s="112" t="str">
        <x:v>https://www.techinterviewhandbook.org/grind75/</x:v>
      </x:c>
    </x:row>
    <x:row r="22" ht="32" customHeight="1">
      <x:c r="A22" s="99" t="n">
        <x:v>18</x:v>
      </x:c>
      <x:c r="B22" s="145" t="n">
        <x:v>206</x:v>
      </x:c>
      <x:c r="C22" s="151" t="str">
        <x:v>反转链表</x:v>
      </x:c>
      <x:c r="D22" s="151" t="str">
        <x:v>Reverse Linked List</x:v>
      </x:c>
      <x:c r="E22" s="145" t="str">
        <x:v>简单</x:v>
      </x:c>
      <x:c r="F22" s="145" t="str">
        <x:v>链表</x:v>
      </x:c>
      <x:c r="G22" s="165" t="str">
        <x:v>链表</x:v>
      </x:c>
      <x:c r="H22" s="165" t="str">
        <x:v>指针反转</x:v>
      </x:c>
      <x:c r="I22" s="165" t="str">
        <x:v>Grind 75核心</x:v>
      </x:c>
      <x:c r="J22" s="145" t="n">
        <x:v>6</x:v>
      </x:c>
      <x:c r="K22" s="145" t="n">
        <x:v>10</x:v>
      </x:c>
      <x:c r="L22" s="145" t="n">
        <x:v>29</x:v>
      </x:c>
      <x:c r="M22" s="145" t="n">
        <x:v>4</x:v>
      </x:c>
      <x:c r="N22" s="145" t="n">
        <x:v>23</x:v>
      </x:c>
      <x:c r="O22" s="145" t="n">
        <x:v>19</x:v>
      </x:c>
      <x:c r="P22" s="177" t="n">
        <x:v>20</x:v>
      </x:c>
      <x:c r="Q22" s="151" t="str">
        <x:v>https://leetcode.com/problems/reverse-linked-list/</x:v>
      </x:c>
      <x:c r="R22" s="112" t="str">
        <x:v>https://www.techinterviewhandbook.org/grind75/</x:v>
      </x:c>
    </x:row>
    <x:row r="23" ht="32" customHeight="1">
      <x:c r="A23" s="99" t="n">
        <x:v>19</x:v>
      </x:c>
      <x:c r="B23" s="145" t="n">
        <x:v>169</x:v>
      </x:c>
      <x:c r="C23" s="151" t="str">
        <x:v>多数元素</x:v>
      </x:c>
      <x:c r="D23" s="151" t="str">
        <x:v>Majority Element</x:v>
      </x:c>
      <x:c r="E23" s="145" t="str">
        <x:v>简单</x:v>
      </x:c>
      <x:c r="F23" s="145" t="str">
        <x:v>贪心与区间</x:v>
      </x:c>
      <x:c r="G23" s="165" t="str">
        <x:v>数组与贪心</x:v>
      </x:c>
      <x:c r="H23" s="165" t="str">
        <x:v>Boyer Moore投票</x:v>
      </x:c>
      <x:c r="I23" s="165" t="str">
        <x:v>Grind 75核心</x:v>
      </x:c>
      <x:c r="J23" s="145" t="n">
        <x:v>6</x:v>
      </x:c>
      <x:c r="K23" s="145" t="n">
        <x:v>10</x:v>
      </x:c>
      <x:c r="L23" s="145" t="n">
        <x:v>29</x:v>
      </x:c>
      <x:c r="M23" s="145" t="n">
        <x:v>4</x:v>
      </x:c>
      <x:c r="N23" s="145" t="n">
        <x:v>23</x:v>
      </x:c>
      <x:c r="O23" s="145" t="n">
        <x:v>19</x:v>
      </x:c>
      <x:c r="P23" s="177" t="n">
        <x:v>20</x:v>
      </x:c>
      <x:c r="Q23" s="151" t="str">
        <x:v>https://leetcode.com/problems/majority-element/</x:v>
      </x:c>
      <x:c r="R23" s="112" t="str">
        <x:v>https://www.techinterviewhandbook.org/grind75/</x:v>
      </x:c>
    </x:row>
    <x:row r="24" ht="32" customHeight="1">
      <x:c r="A24" s="99" t="n">
        <x:v>20</x:v>
      </x:c>
      <x:c r="B24" s="145" t="n">
        <x:v>67</x:v>
      </x:c>
      <x:c r="C24" s="151" t="str">
        <x:v>二进制求和</x:v>
      </x:c>
      <x:c r="D24" s="151" t="str">
        <x:v>Add Binary</x:v>
      </x:c>
      <x:c r="E24" s="145" t="str">
        <x:v>简单</x:v>
      </x:c>
      <x:c r="F24" s="145" t="str">
        <x:v>位运算</x:v>
      </x:c>
      <x:c r="G24" s="165" t="str">
        <x:v>位运算与字符串</x:v>
      </x:c>
      <x:c r="H24" s="165" t="str">
        <x:v>逐位模拟进位</x:v>
      </x:c>
      <x:c r="I24" s="165" t="str">
        <x:v>Grind 75核心</x:v>
      </x:c>
      <x:c r="J24" s="145" t="n">
        <x:v>6</x:v>
      </x:c>
      <x:c r="K24" s="145" t="n">
        <x:v>10</x:v>
      </x:c>
      <x:c r="L24" s="145" t="n">
        <x:v>30</x:v>
      </x:c>
      <x:c r="M24" s="145" t="n">
        <x:v>4</x:v>
      </x:c>
      <x:c r="N24" s="145" t="n">
        <x:v>24</x:v>
      </x:c>
      <x:c r="O24" s="145" t="n">
        <x:v>20</x:v>
      </x:c>
      <x:c r="P24" s="177" t="n">
        <x:v>15</x:v>
      </x:c>
      <x:c r="Q24" s="151" t="str">
        <x:v>https://leetcode.com/problems/add-binary/</x:v>
      </x:c>
      <x:c r="R24" s="112" t="str">
        <x:v>https://www.techinterviewhandbook.org/grind75/</x:v>
      </x:c>
    </x:row>
    <x:row r="25" ht="32" customHeight="1">
      <x:c r="A25" s="99" t="n">
        <x:v>21</x:v>
      </x:c>
      <x:c r="B25" s="145" t="n">
        <x:v>543</x:v>
      </x:c>
      <x:c r="C25" s="151" t="str">
        <x:v>二叉树的直径</x:v>
      </x:c>
      <x:c r="D25" s="151" t="str">
        <x:v>Diameter of Binary Tree</x:v>
      </x:c>
      <x:c r="E25" s="145" t="str">
        <x:v>简单</x:v>
      </x:c>
      <x:c r="F25" s="145" t="str">
        <x:v>树与递归</x:v>
      </x:c>
      <x:c r="G25" s="165" t="str">
        <x:v>二叉树</x:v>
      </x:c>
      <x:c r="H25" s="165" t="str">
        <x:v>树形动态规划</x:v>
      </x:c>
      <x:c r="I25" s="165" t="str">
        <x:v>Grind 75核心</x:v>
      </x:c>
      <x:c r="J25" s="145" t="n">
        <x:v>7</x:v>
      </x:c>
      <x:c r="K25" s="145" t="n">
        <x:v>12</x:v>
      </x:c>
      <x:c r="L25" s="145" t="n">
        <x:v>31</x:v>
      </x:c>
      <x:c r="M25" s="145" t="n">
        <x:v>5</x:v>
      </x:c>
      <x:c r="N25" s="145" t="n">
        <x:v>24</x:v>
      </x:c>
      <x:c r="O25" s="145" t="n">
        <x:v>19</x:v>
      </x:c>
      <x:c r="P25" s="177" t="n">
        <x:v>30</x:v>
      </x:c>
      <x:c r="Q25" s="151" t="str">
        <x:v>https://leetcode.com/problems/diameter-of-binary-tree/</x:v>
      </x:c>
      <x:c r="R25" s="112" t="str">
        <x:v>https://www.techinterviewhandbook.org/grind75/</x:v>
      </x:c>
    </x:row>
    <x:row r="26" ht="32" customHeight="1">
      <x:c r="A26" s="99" t="n">
        <x:v>22</x:v>
      </x:c>
      <x:c r="B26" s="145" t="n">
        <x:v>876</x:v>
      </x:c>
      <x:c r="C26" s="151" t="str">
        <x:v>链表的中间结点</x:v>
      </x:c>
      <x:c r="D26" s="151" t="str">
        <x:v>Middle of the Linked List</x:v>
      </x:c>
      <x:c r="E26" s="145" t="str">
        <x:v>简单</x:v>
      </x:c>
      <x:c r="F26" s="145" t="str">
        <x:v>链表</x:v>
      </x:c>
      <x:c r="G26" s="165" t="str">
        <x:v>链表</x:v>
      </x:c>
      <x:c r="H26" s="165" t="str">
        <x:v>快慢指针</x:v>
      </x:c>
      <x:c r="I26" s="165" t="str">
        <x:v>Grind 75核心</x:v>
      </x:c>
      <x:c r="J26" s="145" t="n">
        <x:v>7</x:v>
      </x:c>
      <x:c r="K26" s="145" t="n">
        <x:v>11</x:v>
      </x:c>
      <x:c r="L26" s="145" t="n">
        <x:v>31</x:v>
      </x:c>
      <x:c r="M26" s="145" t="n">
        <x:v>4</x:v>
      </x:c>
      <x:c r="N26" s="145" t="n">
        <x:v>24</x:v>
      </x:c>
      <x:c r="O26" s="145" t="n">
        <x:v>20</x:v>
      </x:c>
      <x:c r="P26" s="177" t="n">
        <x:v>20</x:v>
      </x:c>
      <x:c r="Q26" s="151" t="str">
        <x:v>https://leetcode.com/problems/middle-of-the-linked-list/</x:v>
      </x:c>
      <x:c r="R26" s="112" t="str">
        <x:v>https://www.techinterviewhandbook.org/grind75/</x:v>
      </x:c>
    </x:row>
    <x:row r="27" ht="32" customHeight="1">
      <x:c r="A27" s="99" t="n">
        <x:v>23</x:v>
      </x:c>
      <x:c r="B27" s="145" t="n">
        <x:v>104</x:v>
      </x:c>
      <x:c r="C27" s="151" t="str">
        <x:v>二叉树的最大深度</x:v>
      </x:c>
      <x:c r="D27" s="151" t="str">
        <x:v>Maximum Depth of Binary Tree</x:v>
      </x:c>
      <x:c r="E27" s="145" t="str">
        <x:v>简单</x:v>
      </x:c>
      <x:c r="F27" s="145" t="str">
        <x:v>树与递归</x:v>
      </x:c>
      <x:c r="G27" s="165" t="str">
        <x:v>二叉树</x:v>
      </x:c>
      <x:c r="H27" s="165" t="str">
        <x:v>深搜或层序遍历</x:v>
      </x:c>
      <x:c r="I27" s="165" t="str">
        <x:v>Grind 75核心</x:v>
      </x:c>
      <x:c r="J27" s="145" t="n">
        <x:v>7</x:v>
      </x:c>
      <x:c r="K27" s="145" t="n">
        <x:v>12</x:v>
      </x:c>
      <x:c r="L27" s="145" t="n">
        <x:v>32</x:v>
      </x:c>
      <x:c r="M27" s="145" t="n">
        <x:v>5</x:v>
      </x:c>
      <x:c r="N27" s="145" t="n">
        <x:v>25</x:v>
      </x:c>
      <x:c r="O27" s="145" t="n">
        <x:v>20</x:v>
      </x:c>
      <x:c r="P27" s="177" t="n">
        <x:v>15</x:v>
      </x:c>
      <x:c r="Q27" s="151" t="str">
        <x:v>https://leetcode.com/problems/maximum-depth-of-binary-tree/</x:v>
      </x:c>
      <x:c r="R27" s="112" t="str">
        <x:v>https://www.techinterviewhandbook.org/grind75/</x:v>
      </x:c>
    </x:row>
    <x:row r="28" ht="32" customHeight="1">
      <x:c r="A28" s="99" t="n">
        <x:v>24</x:v>
      </x:c>
      <x:c r="B28" s="145" t="n">
        <x:v>217</x:v>
      </x:c>
      <x:c r="C28" s="151" t="str">
        <x:v>存在重复元素</x:v>
      </x:c>
      <x:c r="D28" s="151" t="str">
        <x:v>Contains Duplicate</x:v>
      </x:c>
      <x:c r="E28" s="145" t="str">
        <x:v>简单</x:v>
      </x:c>
      <x:c r="F28" s="145" t="str">
        <x:v>数组与哈希</x:v>
      </x:c>
      <x:c r="G28" s="165" t="str">
        <x:v>数组与哈希</x:v>
      </x:c>
      <x:c r="H28" s="165" t="str">
        <x:v>集合去重</x:v>
      </x:c>
      <x:c r="I28" s="165" t="str">
        <x:v>Grind 75核心</x:v>
      </x:c>
      <x:c r="J28" s="145" t="n">
        <x:v>8</x:v>
      </x:c>
      <x:c r="K28" s="145" t="n">
        <x:v>11</x:v>
      </x:c>
      <x:c r="L28" s="145" t="n">
        <x:v>32</x:v>
      </x:c>
      <x:c r="M28" s="145" t="n">
        <x:v>3</x:v>
      </x:c>
      <x:c r="N28" s="145" t="n">
        <x:v>24</x:v>
      </x:c>
      <x:c r="O28" s="145" t="n">
        <x:v>21</x:v>
      </x:c>
      <x:c r="P28" s="177" t="n">
        <x:v>15</x:v>
      </x:c>
      <x:c r="Q28" s="151" t="str">
        <x:v>https://leetcode.com/problems/contains-duplicate/</x:v>
      </x:c>
      <x:c r="R28" s="112" t="str">
        <x:v>https://www.techinterviewhandbook.org/grind75/</x:v>
      </x:c>
    </x:row>
    <x:row r="29" ht="32" customHeight="1">
      <x:c r="A29" s="99" t="n">
        <x:v>25</x:v>
      </x:c>
      <x:c r="B29" s="145" t="n">
        <x:v>53</x:v>
      </x:c>
      <x:c r="C29" s="151" t="str">
        <x:v>最大子数组和</x:v>
      </x:c>
      <x:c r="D29" s="151" t="str">
        <x:v>Maximum Subarray</x:v>
      </x:c>
      <x:c r="E29" s="145" t="str">
        <x:v>中等</x:v>
      </x:c>
      <x:c r="F29" s="145" t="str">
        <x:v>动态规划</x:v>
      </x:c>
      <x:c r="G29" s="165" t="str">
        <x:v>动态规划</x:v>
      </x:c>
      <x:c r="H29" s="165" t="str">
        <x:v>Kadane状态转移</x:v>
      </x:c>
      <x:c r="I29" s="165" t="str">
        <x:v>Grind 75核心</x:v>
      </x:c>
      <x:c r="J29" s="145" t="n">
        <x:v>8</x:v>
      </x:c>
      <x:c r="K29" s="145" t="n">
        <x:v>11</x:v>
      </x:c>
      <x:c r="L29" s="145" t="n">
        <x:v>33</x:v>
      </x:c>
      <x:c r="M29" s="145" t="n">
        <x:v>3</x:v>
      </x:c>
      <x:c r="N29" s="145" t="n">
        <x:v>25</x:v>
      </x:c>
      <x:c r="O29" s="145" t="n">
        <x:v>22</x:v>
      </x:c>
      <x:c r="P29" s="177" t="n">
        <x:v>20</x:v>
      </x:c>
      <x:c r="Q29" s="151" t="str">
        <x:v>https://leetcode.com/problems/maximum-subarray/</x:v>
      </x:c>
      <x:c r="R29" s="112" t="str">
        <x:v>https://www.techinterviewhandbook.org/grind75/</x:v>
      </x:c>
    </x:row>
    <x:row r="30" ht="32" customHeight="1">
      <x:c r="A30" s="99" t="n">
        <x:v>26</x:v>
      </x:c>
      <x:c r="B30" s="145" t="n">
        <x:v>57</x:v>
      </x:c>
      <x:c r="C30" s="151" t="str">
        <x:v>插入区间</x:v>
      </x:c>
      <x:c r="D30" s="151" t="str">
        <x:v>Insert Interval</x:v>
      </x:c>
      <x:c r="E30" s="145" t="str">
        <x:v>中等</x:v>
      </x:c>
      <x:c r="F30" s="145" t="str">
        <x:v>贪心与区间</x:v>
      </x:c>
      <x:c r="G30" s="165" t="str">
        <x:v>区间与贪心</x:v>
      </x:c>
      <x:c r="H30" s="165" t="str">
        <x:v>区间分类与合并</x:v>
      </x:c>
      <x:c r="I30" s="165" t="str">
        <x:v>Grind 75核心</x:v>
      </x:c>
      <x:c r="J30" s="145" t="n">
        <x:v>8</x:v>
      </x:c>
      <x:c r="K30" s="145" t="n">
        <x:v>12</x:v>
      </x:c>
      <x:c r="L30" s="145" t="n">
        <x:v>33</x:v>
      </x:c>
      <x:c r="M30" s="145" t="n">
        <x:v>4</x:v>
      </x:c>
      <x:c r="N30" s="145" t="n">
        <x:v>25</x:v>
      </x:c>
      <x:c r="O30" s="145" t="n">
        <x:v>21</x:v>
      </x:c>
      <x:c r="P30" s="177" t="n">
        <x:v>25</x:v>
      </x:c>
      <x:c r="Q30" s="151" t="str">
        <x:v>https://leetcode.com/problems/insert-interval/</x:v>
      </x:c>
      <x:c r="R30" s="112" t="str">
        <x:v>https://www.techinterviewhandbook.org/grind75/</x:v>
      </x:c>
    </x:row>
    <x:row r="31" ht="32" customHeight="1">
      <x:c r="A31" s="99" t="n">
        <x:v>27</x:v>
      </x:c>
      <x:c r="B31" s="145" t="n">
        <x:v>542</x:v>
      </x:c>
      <x:c r="C31" s="151" t="str">
        <x:v>01矩阵</x:v>
      </x:c>
      <x:c r="D31" s="151" t="str">
        <x:v>01 Matrix</x:v>
      </x:c>
      <x:c r="E31" s="145" t="str">
        <x:v>中等</x:v>
      </x:c>
      <x:c r="F31" s="145" t="str">
        <x:v>图与并查集</x:v>
      </x:c>
      <x:c r="G31" s="165" t="str">
        <x:v>图论</x:v>
      </x:c>
      <x:c r="H31" s="165" t="str">
        <x:v>多源广搜</x:v>
      </x:c>
      <x:c r="I31" s="165" t="str">
        <x:v>Grind 75核心</x:v>
      </x:c>
      <x:c r="J31" s="145" t="n">
        <x:v>9</x:v>
      </x:c>
      <x:c r="K31" s="145" t="n">
        <x:v>13</x:v>
      </x:c>
      <x:c r="L31" s="145" t="n">
        <x:v>34</x:v>
      </x:c>
      <x:c r="M31" s="145" t="n">
        <x:v>4</x:v>
      </x:c>
      <x:c r="N31" s="145" t="n">
        <x:v>25</x:v>
      </x:c>
      <x:c r="O31" s="145" t="n">
        <x:v>21</x:v>
      </x:c>
      <x:c r="P31" s="177" t="n">
        <x:v>30</x:v>
      </x:c>
      <x:c r="Q31" s="151" t="str">
        <x:v>https://leetcode.com/problems/01-matrix/</x:v>
      </x:c>
      <x:c r="R31" s="112" t="str">
        <x:v>https://www.techinterviewhandbook.org/grind75/</x:v>
      </x:c>
    </x:row>
    <x:row r="32" ht="32" customHeight="1">
      <x:c r="A32" s="99" t="n">
        <x:v>28</x:v>
      </x:c>
      <x:c r="B32" s="145" t="n">
        <x:v>973</x:v>
      </x:c>
      <x:c r="C32" s="151" t="str">
        <x:v>最接近原点的K个点</x:v>
      </x:c>
      <x:c r="D32" s="151" t="str">
        <x:v>K Closest Points to Origin</x:v>
      </x:c>
      <x:c r="E32" s="145" t="str">
        <x:v>中等</x:v>
      </x:c>
      <x:c r="F32" s="145" t="str">
        <x:v>堆与优先队列</x:v>
      </x:c>
      <x:c r="G32" s="165" t="str">
        <x:v>堆与优先队列</x:v>
      </x:c>
      <x:c r="H32" s="165" t="str">
        <x:v>Top K与堆</x:v>
      </x:c>
      <x:c r="I32" s="165" t="str">
        <x:v>Grind 75核心</x:v>
      </x:c>
      <x:c r="J32" s="145" t="n">
        <x:v>9</x:v>
      </x:c>
      <x:c r="K32" s="145" t="n">
        <x:v>13</x:v>
      </x:c>
      <x:c r="L32" s="145" t="n">
        <x:v>34</x:v>
      </x:c>
      <x:c r="M32" s="145" t="n">
        <x:v>4</x:v>
      </x:c>
      <x:c r="N32" s="145" t="n">
        <x:v>25</x:v>
      </x:c>
      <x:c r="O32" s="145" t="n">
        <x:v>21</x:v>
      </x:c>
      <x:c r="P32" s="177" t="n">
        <x:v>30</x:v>
      </x:c>
      <x:c r="Q32" s="151" t="str">
        <x:v>https://leetcode.com/problems/k-closest-points-to-origin/</x:v>
      </x:c>
      <x:c r="R32" s="112" t="str">
        <x:v>https://www.techinterviewhandbook.org/grind75/</x:v>
      </x:c>
    </x:row>
    <x:row r="33" ht="32" customHeight="1">
      <x:c r="A33" s="99" t="n">
        <x:v>29</x:v>
      </x:c>
      <x:c r="B33" s="145" t="n">
        <x:v>3</x:v>
      </x:c>
      <x:c r="C33" s="151" t="str">
        <x:v>无重复字符的最长子串</x:v>
      </x:c>
      <x:c r="D33" s="151" t="str">
        <x:v>Longest Substring Without Repeating Characters</x:v>
      </x:c>
      <x:c r="E33" s="145" t="str">
        <x:v>中等</x:v>
      </x:c>
      <x:c r="F33" s="145" t="str">
        <x:v>滑动窗口与单调队列</x:v>
      </x:c>
      <x:c r="G33" s="165" t="str">
        <x:v>滑动窗口</x:v>
      </x:c>
      <x:c r="H33" s="165" t="str">
        <x:v>可变长度窗口</x:v>
      </x:c>
      <x:c r="I33" s="165" t="str">
        <x:v>Grind 75核心</x:v>
      </x:c>
      <x:c r="J33" s="145" t="n">
        <x:v>10</x:v>
      </x:c>
      <x:c r="K33" s="145" t="n">
        <x:v>13</x:v>
      </x:c>
      <x:c r="L33" s="145" t="n">
        <x:v>35</x:v>
      </x:c>
      <x:c r="M33" s="145" t="n">
        <x:v>3</x:v>
      </x:c>
      <x:c r="N33" s="145" t="n">
        <x:v>25</x:v>
      </x:c>
      <x:c r="O33" s="145" t="n">
        <x:v>22</x:v>
      </x:c>
      <x:c r="P33" s="177" t="n">
        <x:v>30</x:v>
      </x:c>
      <x:c r="Q33" s="151" t="str">
        <x:v>https://leetcode.com/problems/longest-substring-without-repeating-characters/</x:v>
      </x:c>
      <x:c r="R33" s="112" t="str">
        <x:v>https://www.techinterviewhandbook.org/grind75/</x:v>
      </x:c>
    </x:row>
    <x:row r="34" ht="32" customHeight="1">
      <x:c r="A34" s="99" t="n">
        <x:v>30</x:v>
      </x:c>
      <x:c r="B34" s="145" t="n">
        <x:v>15</x:v>
      </x:c>
      <x:c r="C34" s="151" t="str">
        <x:v>三数之和</x:v>
      </x:c>
      <x:c r="D34" s="151" t="str">
        <x:v>3Sum</x:v>
      </x:c>
      <x:c r="E34" s="145" t="str">
        <x:v>中等</x:v>
      </x:c>
      <x:c r="F34" s="145" t="str">
        <x:v>双指针</x:v>
      </x:c>
      <x:c r="G34" s="165" t="str">
        <x:v>双指针</x:v>
      </x:c>
      <x:c r="H34" s="165" t="str">
        <x:v>排序与对撞指针</x:v>
      </x:c>
      <x:c r="I34" s="165" t="str">
        <x:v>Grind 75核心</x:v>
      </x:c>
      <x:c r="J34" s="145" t="n">
        <x:v>10</x:v>
      </x:c>
      <x:c r="K34" s="145" t="n">
        <x:v>14</x:v>
      </x:c>
      <x:c r="L34" s="145" t="n">
        <x:v>36</x:v>
      </x:c>
      <x:c r="M34" s="145" t="n">
        <x:v>4</x:v>
      </x:c>
      <x:c r="N34" s="145" t="n">
        <x:v>26</x:v>
      </x:c>
      <x:c r="O34" s="145" t="n">
        <x:v>22</x:v>
      </x:c>
      <x:c r="P34" s="177" t="n">
        <x:v>30</x:v>
      </x:c>
      <x:c r="Q34" s="151" t="str">
        <x:v>https://leetcode.com/problems/3sum/</x:v>
      </x:c>
      <x:c r="R34" s="112" t="str">
        <x:v>https://www.techinterviewhandbook.org/grind75/</x:v>
      </x:c>
    </x:row>
    <x:row r="35" ht="32" customHeight="1">
      <x:c r="A35" s="99" t="n">
        <x:v>31</x:v>
      </x:c>
      <x:c r="B35" s="145" t="n">
        <x:v>102</x:v>
      </x:c>
      <x:c r="C35" s="151" t="str">
        <x:v>二叉树的层序遍历</x:v>
      </x:c>
      <x:c r="D35" s="151" t="str">
        <x:v>Binary Tree Level Order Traversal</x:v>
      </x:c>
      <x:c r="E35" s="145" t="str">
        <x:v>中等</x:v>
      </x:c>
      <x:c r="F35" s="145" t="str">
        <x:v>树与递归</x:v>
      </x:c>
      <x:c r="G35" s="165" t="str">
        <x:v>二叉树</x:v>
      </x:c>
      <x:c r="H35" s="165" t="str">
        <x:v>广搜分层</x:v>
      </x:c>
      <x:c r="I35" s="165" t="str">
        <x:v>Grind 75核心</x:v>
      </x:c>
      <x:c r="J35" s="145" t="n">
        <x:v>11</x:v>
      </x:c>
      <x:c r="K35" s="145" t="n">
        <x:v>14</x:v>
      </x:c>
      <x:c r="L35" s="145" t="n">
        <x:v>38</x:v>
      </x:c>
      <x:c r="M35" s="145" t="n">
        <x:v>3</x:v>
      </x:c>
      <x:c r="N35" s="145" t="n">
        <x:v>27</x:v>
      </x:c>
      <x:c r="O35" s="145" t="n">
        <x:v>24</x:v>
      </x:c>
      <x:c r="P35" s="177" t="n">
        <x:v>20</x:v>
      </x:c>
      <x:c r="Q35" s="151" t="str">
        <x:v>https://leetcode.com/problems/binary-tree-level-order-traversal/</x:v>
      </x:c>
      <x:c r="R35" s="112" t="str">
        <x:v>https://www.techinterviewhandbook.org/grind75/</x:v>
      </x:c>
    </x:row>
    <x:row r="36" ht="32" customHeight="1">
      <x:c r="A36" s="99" t="n">
        <x:v>32</x:v>
      </x:c>
      <x:c r="B36" s="145" t="n">
        <x:v>133</x:v>
      </x:c>
      <x:c r="C36" s="151" t="str">
        <x:v>克隆图</x:v>
      </x:c>
      <x:c r="D36" s="151" t="str">
        <x:v>Clone Graph</x:v>
      </x:c>
      <x:c r="E36" s="145" t="str">
        <x:v>中等</x:v>
      </x:c>
      <x:c r="F36" s="145" t="str">
        <x:v>图与并查集</x:v>
      </x:c>
      <x:c r="G36" s="165" t="str">
        <x:v>图论</x:v>
      </x:c>
      <x:c r="H36" s="165" t="str">
        <x:v>图遍历与映射</x:v>
      </x:c>
      <x:c r="I36" s="165" t="str">
        <x:v>Grind 75核心</x:v>
      </x:c>
      <x:c r="J36" s="145" t="n">
        <x:v>11</x:v>
      </x:c>
      <x:c r="K36" s="145" t="n">
        <x:v>14</x:v>
      </x:c>
      <x:c r="L36" s="145" t="n">
        <x:v>37</x:v>
      </x:c>
      <x:c r="M36" s="145" t="n">
        <x:v>3</x:v>
      </x:c>
      <x:c r="N36" s="145" t="n">
        <x:v>26</x:v>
      </x:c>
      <x:c r="O36" s="145" t="n">
        <x:v>23</x:v>
      </x:c>
      <x:c r="P36" s="177" t="n">
        <x:v>25</x:v>
      </x:c>
      <x:c r="Q36" s="151" t="str">
        <x:v>https://leetcode.com/problems/clone-graph/</x:v>
      </x:c>
      <x:c r="R36" s="112" t="str">
        <x:v>https://www.techinterviewhandbook.org/grind75/</x:v>
      </x:c>
    </x:row>
    <x:row r="37" ht="32" customHeight="1">
      <x:c r="A37" s="99" t="n">
        <x:v>33</x:v>
      </x:c>
      <x:c r="B37" s="145" t="n">
        <x:v>150</x:v>
      </x:c>
      <x:c r="C37" s="151" t="str">
        <x:v>逆波兰表达式求值</x:v>
      </x:c>
      <x:c r="D37" s="151" t="str">
        <x:v>Evaluate Reverse Polish Notation</x:v>
      </x:c>
      <x:c r="E37" s="145" t="str">
        <x:v>中等</x:v>
      </x:c>
      <x:c r="F37" s="145" t="str">
        <x:v>栈与队列</x:v>
      </x:c>
      <x:c r="G37" s="165" t="str">
        <x:v>栈与队列</x:v>
      </x:c>
      <x:c r="H37" s="165" t="str">
        <x:v>栈处理表达式</x:v>
      </x:c>
      <x:c r="I37" s="165" t="str">
        <x:v>Grind 75核心</x:v>
      </x:c>
      <x:c r="J37" s="145" t="n">
        <x:v>12</x:v>
      </x:c>
      <x:c r="K37" s="145" t="n">
        <x:v>15</x:v>
      </x:c>
      <x:c r="L37" s="145" t="n">
        <x:v>37</x:v>
      </x:c>
      <x:c r="M37" s="145" t="n">
        <x:v>3</x:v>
      </x:c>
      <x:c r="N37" s="145" t="n">
        <x:v>25</x:v>
      </x:c>
      <x:c r="O37" s="145" t="n">
        <x:v>22</x:v>
      </x:c>
      <x:c r="P37" s="177" t="n">
        <x:v>30</x:v>
      </x:c>
      <x:c r="Q37" s="151" t="str">
        <x:v>https://leetcode.com/problems/evaluate-reverse-polish-notation/</x:v>
      </x:c>
      <x:c r="R37" s="112" t="str">
        <x:v>https://www.techinterviewhandbook.org/grind75/</x:v>
      </x:c>
    </x:row>
    <x:row r="38" ht="32" customHeight="1">
      <x:c r="A38" s="99" t="n">
        <x:v>34</x:v>
      </x:c>
      <x:c r="B38" s="145" t="n">
        <x:v>207</x:v>
      </x:c>
      <x:c r="C38" s="151" t="str">
        <x:v>课程表</x:v>
      </x:c>
      <x:c r="D38" s="151" t="str">
        <x:v>Course Schedule</x:v>
      </x:c>
      <x:c r="E38" s="145" t="str">
        <x:v>中等</x:v>
      </x:c>
      <x:c r="F38" s="145" t="str">
        <x:v>图与并查集</x:v>
      </x:c>
      <x:c r="G38" s="165" t="str">
        <x:v>图论</x:v>
      </x:c>
      <x:c r="H38" s="165" t="str">
        <x:v>拓扑排序与环检测</x:v>
      </x:c>
      <x:c r="I38" s="165" t="str">
        <x:v>Grind 75核心</x:v>
      </x:c>
      <x:c r="J38" s="145" t="n">
        <x:v>12</x:v>
      </x:c>
      <x:c r="K38" s="145" t="n">
        <x:v>16</x:v>
      </x:c>
      <x:c r="L38" s="145" t="n">
        <x:v>38</x:v>
      </x:c>
      <x:c r="M38" s="145" t="n">
        <x:v>4</x:v>
      </x:c>
      <x:c r="N38" s="145" t="n">
        <x:v>26</x:v>
      </x:c>
      <x:c r="O38" s="145" t="n">
        <x:v>22</x:v>
      </x:c>
      <x:c r="P38" s="177" t="n">
        <x:v>30</x:v>
      </x:c>
      <x:c r="Q38" s="151" t="str">
        <x:v>https://leetcode.com/problems/course-schedule/</x:v>
      </x:c>
      <x:c r="R38" s="112" t="str">
        <x:v>https://www.techinterviewhandbook.org/grind75/</x:v>
      </x:c>
    </x:row>
    <x:row r="39" ht="32" customHeight="1">
      <x:c r="A39" s="99" t="n">
        <x:v>35</x:v>
      </x:c>
      <x:c r="B39" s="145" t="n">
        <x:v>208</x:v>
      </x:c>
      <x:c r="C39" s="151" t="str">
        <x:v>实现Trie前缀树</x:v>
      </x:c>
      <x:c r="D39" s="151" t="str">
        <x:v>Implement Trie Prefix Tree</x:v>
      </x:c>
      <x:c r="E39" s="145" t="str">
        <x:v>中等</x:v>
      </x:c>
      <x:c r="F39" s="145" t="str">
        <x:v>Trie</x:v>
      </x:c>
      <x:c r="G39" s="165" t="str">
        <x:v>Trie</x:v>
      </x:c>
      <x:c r="H39" s="165" t="str">
        <x:v>前缀树设计</x:v>
      </x:c>
      <x:c r="I39" s="165" t="str">
        <x:v>Grind 75核心</x:v>
      </x:c>
      <x:c r="J39" s="145" t="n">
        <x:v>13</x:v>
      </x:c>
      <x:c r="K39" s="145" t="n">
        <x:v>15</x:v>
      </x:c>
      <x:c r="L39" s="145" t="n">
        <x:v>39</x:v>
      </x:c>
      <x:c r="M39" s="145" t="n">
        <x:v>2</x:v>
      </x:c>
      <x:c r="N39" s="145" t="n">
        <x:v>26</x:v>
      </x:c>
      <x:c r="O39" s="145" t="n">
        <x:v>24</x:v>
      </x:c>
      <x:c r="P39" s="177" t="n">
        <x:v>35</x:v>
      </x:c>
      <x:c r="Q39" s="151" t="str">
        <x:v>https://leetcode.com/problems/implement-trie-prefix-tree/</x:v>
      </x:c>
      <x:c r="R39" s="112" t="str">
        <x:v>https://www.techinterviewhandbook.org/grind75/</x:v>
      </x:c>
    </x:row>
    <x:row r="40" ht="32" customHeight="1">
      <x:c r="A40" s="99" t="n">
        <x:v>36</x:v>
      </x:c>
      <x:c r="B40" s="145" t="n">
        <x:v>322</x:v>
      </x:c>
      <x:c r="C40" s="151" t="str">
        <x:v>零钱兑换</x:v>
      </x:c>
      <x:c r="D40" s="151" t="str">
        <x:v>Coin Change</x:v>
      </x:c>
      <x:c r="E40" s="145" t="str">
        <x:v>中等</x:v>
      </x:c>
      <x:c r="F40" s="145" t="str">
        <x:v>动态规划</x:v>
      </x:c>
      <x:c r="G40" s="165" t="str">
        <x:v>动态规划</x:v>
      </x:c>
      <x:c r="H40" s="165" t="str">
        <x:v>完全背包最值</x:v>
      </x:c>
      <x:c r="I40" s="165" t="str">
        <x:v>Grind 75核心</x:v>
      </x:c>
      <x:c r="J40" s="145" t="n">
        <x:v>13</x:v>
      </x:c>
      <x:c r="K40" s="145" t="n">
        <x:v>15</x:v>
      </x:c>
      <x:c r="L40" s="145" t="n">
        <x:v>40</x:v>
      </x:c>
      <x:c r="M40" s="145" t="n">
        <x:v>2</x:v>
      </x:c>
      <x:c r="N40" s="145" t="n">
        <x:v>27</x:v>
      </x:c>
      <x:c r="O40" s="145" t="n">
        <x:v>25</x:v>
      </x:c>
      <x:c r="P40" s="177" t="n">
        <x:v>25</x:v>
      </x:c>
      <x:c r="Q40" s="151" t="str">
        <x:v>https://leetcode.com/problems/coin-change/</x:v>
      </x:c>
      <x:c r="R40" s="112" t="str">
        <x:v>https://www.techinterviewhandbook.org/grind75/</x:v>
      </x:c>
    </x:row>
    <x:row r="41" ht="32" customHeight="1">
      <x:c r="A41" s="99" t="n">
        <x:v>37</x:v>
      </x:c>
      <x:c r="B41" s="145" t="n">
        <x:v>238</x:v>
      </x:c>
      <x:c r="C41" s="151" t="str">
        <x:v>除自身以外数组的乘积</x:v>
      </x:c>
      <x:c r="D41" s="151" t="str">
        <x:v>Product of Array Except Self</x:v>
      </x:c>
      <x:c r="E41" s="145" t="str">
        <x:v>中等</x:v>
      </x:c>
      <x:c r="F41" s="145" t="str">
        <x:v>数组与哈希</x:v>
      </x:c>
      <x:c r="G41" s="165" t="str">
        <x:v>数组与前缀</x:v>
      </x:c>
      <x:c r="H41" s="165" t="str">
        <x:v>前缀积与后缀积</x:v>
      </x:c>
      <x:c r="I41" s="165" t="str">
        <x:v>Grind 75核心</x:v>
      </x:c>
      <x:c r="J41" s="145" t="n">
        <x:v>14</x:v>
      </x:c>
      <x:c r="K41" s="145" t="n">
        <x:v>16</x:v>
      </x:c>
      <x:c r="L41" s="145" t="n">
        <x:v>41</x:v>
      </x:c>
      <x:c r="M41" s="145" t="n">
        <x:v>2</x:v>
      </x:c>
      <x:c r="N41" s="145" t="n">
        <x:v>27</x:v>
      </x:c>
      <x:c r="O41" s="145" t="n">
        <x:v>25</x:v>
      </x:c>
      <x:c r="P41" s="177" t="n">
        <x:v>30</x:v>
      </x:c>
      <x:c r="Q41" s="151" t="str">
        <x:v>https://leetcode.com/problems/product-of-array-except-self/</x:v>
      </x:c>
      <x:c r="R41" s="112" t="str">
        <x:v>https://www.techinterviewhandbook.org/grind75/</x:v>
      </x:c>
    </x:row>
    <x:row r="42" ht="32" customHeight="1">
      <x:c r="A42" s="99" t="n">
        <x:v>38</x:v>
      </x:c>
      <x:c r="B42" s="145" t="n">
        <x:v>155</x:v>
      </x:c>
      <x:c r="C42" s="151" t="str">
        <x:v>最小栈</x:v>
      </x:c>
      <x:c r="D42" s="151" t="str">
        <x:v>Min Stack</x:v>
      </x:c>
      <x:c r="E42" s="145" t="str">
        <x:v>中等</x:v>
      </x:c>
      <x:c r="F42" s="145" t="str">
        <x:v>栈与队列</x:v>
      </x:c>
      <x:c r="G42" s="165" t="str">
        <x:v>栈与队列</x:v>
      </x:c>
      <x:c r="H42" s="165" t="str">
        <x:v>辅助栈维护最值</x:v>
      </x:c>
      <x:c r="I42" s="165" t="str">
        <x:v>Grind 75核心</x:v>
      </x:c>
      <x:c r="J42" s="145" t="n">
        <x:v>14</x:v>
      </x:c>
      <x:c r="K42" s="145" t="n">
        <x:v>16</x:v>
      </x:c>
      <x:c r="L42" s="145" t="n">
        <x:v>41</x:v>
      </x:c>
      <x:c r="M42" s="145" t="n">
        <x:v>2</x:v>
      </x:c>
      <x:c r="N42" s="145" t="n">
        <x:v>27</x:v>
      </x:c>
      <x:c r="O42" s="145" t="n">
        <x:v>25</x:v>
      </x:c>
      <x:c r="P42" s="177" t="n">
        <x:v>20</x:v>
      </x:c>
      <x:c r="Q42" s="151" t="str">
        <x:v>https://leetcode.com/problems/min-stack/</x:v>
      </x:c>
      <x:c r="R42" s="112" t="str">
        <x:v>https://www.techinterviewhandbook.org/grind75/</x:v>
      </x:c>
    </x:row>
    <x:row r="43" ht="32" customHeight="1">
      <x:c r="A43" s="99" t="n">
        <x:v>39</x:v>
      </x:c>
      <x:c r="B43" s="145" t="n">
        <x:v>98</x:v>
      </x:c>
      <x:c r="C43" s="151" t="str">
        <x:v>验证二叉搜索树</x:v>
      </x:c>
      <x:c r="D43" s="151" t="str">
        <x:v>Validate Binary Search Tree</x:v>
      </x:c>
      <x:c r="E43" s="145" t="str">
        <x:v>中等</x:v>
      </x:c>
      <x:c r="F43" s="145" t="str">
        <x:v>树与递归</x:v>
      </x:c>
      <x:c r="G43" s="165" t="str">
        <x:v>二叉搜索树</x:v>
      </x:c>
      <x:c r="H43" s="165" t="str">
        <x:v>中序有序或上下界</x:v>
      </x:c>
      <x:c r="I43" s="165" t="str">
        <x:v>Grind 75核心</x:v>
      </x:c>
      <x:c r="J43" s="145" t="n">
        <x:v>15</x:v>
      </x:c>
      <x:c r="K43" s="145" t="n">
        <x:v>17</x:v>
      </x:c>
      <x:c r="L43" s="145" t="n">
        <x:v>42</x:v>
      </x:c>
      <x:c r="M43" s="145" t="n">
        <x:v>2</x:v>
      </x:c>
      <x:c r="N43" s="145" t="n">
        <x:v>27</x:v>
      </x:c>
      <x:c r="O43" s="145" t="n">
        <x:v>25</x:v>
      </x:c>
      <x:c r="P43" s="177" t="n">
        <x:v>20</x:v>
      </x:c>
      <x:c r="Q43" s="151" t="str">
        <x:v>https://leetcode.com/problems/validate-binary-search-tree/</x:v>
      </x:c>
      <x:c r="R43" s="112" t="str">
        <x:v>https://www.techinterviewhandbook.org/grind75/</x:v>
      </x:c>
    </x:row>
    <x:row r="44" ht="32" customHeight="1">
      <x:c r="A44" s="99" t="n">
        <x:v>40</x:v>
      </x:c>
      <x:c r="B44" s="145" t="n">
        <x:v>200</x:v>
      </x:c>
      <x:c r="C44" s="151" t="str">
        <x:v>岛屿数量</x:v>
      </x:c>
      <x:c r="D44" s="151" t="str">
        <x:v>Number of Islands</x:v>
      </x:c>
      <x:c r="E44" s="145" t="str">
        <x:v>中等</x:v>
      </x:c>
      <x:c r="F44" s="145" t="str">
        <x:v>图与并查集</x:v>
      </x:c>
      <x:c r="G44" s="165" t="str">
        <x:v>图论</x:v>
      </x:c>
      <x:c r="H44" s="165" t="str">
        <x:v>网格连通分量</x:v>
      </x:c>
      <x:c r="I44" s="165" t="str">
        <x:v>Grind 75核心</x:v>
      </x:c>
      <x:c r="J44" s="145" t="n">
        <x:v>15</x:v>
      </x:c>
      <x:c r="K44" s="145" t="n">
        <x:v>17</x:v>
      </x:c>
      <x:c r="L44" s="145" t="n">
        <x:v>42</x:v>
      </x:c>
      <x:c r="M44" s="145" t="n">
        <x:v>2</x:v>
      </x:c>
      <x:c r="N44" s="145" t="n">
        <x:v>27</x:v>
      </x:c>
      <x:c r="O44" s="145" t="n">
        <x:v>25</x:v>
      </x:c>
      <x:c r="P44" s="177" t="n">
        <x:v>25</x:v>
      </x:c>
      <x:c r="Q44" s="151" t="str">
        <x:v>https://leetcode.com/problems/number-of-islands/</x:v>
      </x:c>
      <x:c r="R44" s="112" t="str">
        <x:v>https://www.techinterviewhandbook.org/grind75/</x:v>
      </x:c>
    </x:row>
    <x:row r="45" ht="32" customHeight="1">
      <x:c r="A45" s="99" t="n">
        <x:v>41</x:v>
      </x:c>
      <x:c r="B45" s="145" t="n">
        <x:v>994</x:v>
      </x:c>
      <x:c r="C45" s="151" t="str">
        <x:v>腐烂的橘子</x:v>
      </x:c>
      <x:c r="D45" s="151" t="str">
        <x:v>Rotting Oranges</x:v>
      </x:c>
      <x:c r="E45" s="145" t="str">
        <x:v>中等</x:v>
      </x:c>
      <x:c r="F45" s="145" t="str">
        <x:v>图与并查集</x:v>
      </x:c>
      <x:c r="G45" s="165" t="str">
        <x:v>图论</x:v>
      </x:c>
      <x:c r="H45" s="165" t="str">
        <x:v>多源广搜分层</x:v>
      </x:c>
      <x:c r="I45" s="165" t="str">
        <x:v>Grind 75核心</x:v>
      </x:c>
      <x:c r="J45" s="145" t="n">
        <x:v>16</x:v>
      </x:c>
      <x:c r="K45" s="145" t="n">
        <x:v>18</x:v>
      </x:c>
      <x:c r="L45" s="145" t="n">
        <x:v>43</x:v>
      </x:c>
      <x:c r="M45" s="145" t="n">
        <x:v>2</x:v>
      </x:c>
      <x:c r="N45" s="145" t="n">
        <x:v>27</x:v>
      </x:c>
      <x:c r="O45" s="145" t="n">
        <x:v>25</x:v>
      </x:c>
      <x:c r="P45" s="177" t="n">
        <x:v>30</x:v>
      </x:c>
      <x:c r="Q45" s="151" t="str">
        <x:v>https://leetcode.com/problems/rotting-oranges/</x:v>
      </x:c>
      <x:c r="R45" s="112" t="str">
        <x:v>https://www.techinterviewhandbook.org/grind75/</x:v>
      </x:c>
    </x:row>
    <x:row r="46" ht="32" customHeight="1">
      <x:c r="A46" s="99" t="n">
        <x:v>42</x:v>
      </x:c>
      <x:c r="B46" s="145" t="n">
        <x:v>33</x:v>
      </x:c>
      <x:c r="C46" s="151" t="str">
        <x:v>搜索旋转排序数组</x:v>
      </x:c>
      <x:c r="D46" s="151" t="str">
        <x:v>Search in Rotated Sorted Array</x:v>
      </x:c>
      <x:c r="E46" s="145" t="str">
        <x:v>中等</x:v>
      </x:c>
      <x:c r="F46" s="145" t="str">
        <x:v>二分查找</x:v>
      </x:c>
      <x:c r="G46" s="165" t="str">
        <x:v>二分查找</x:v>
      </x:c>
      <x:c r="H46" s="165" t="str">
        <x:v>有序半区判断</x:v>
      </x:c>
      <x:c r="I46" s="165" t="str">
        <x:v>Grind 75核心</x:v>
      </x:c>
      <x:c r="J46" s="145" t="n">
        <x:v>16</x:v>
      </x:c>
      <x:c r="K46" s="145" t="n">
        <x:v>17</x:v>
      </x:c>
      <x:c r="L46" s="145" t="n">
        <x:v>44</x:v>
      </x:c>
      <x:c r="M46" s="145" t="n">
        <x:v>1</x:v>
      </x:c>
      <x:c r="N46" s="145" t="n">
        <x:v>28</x:v>
      </x:c>
      <x:c r="O46" s="145" t="n">
        <x:v>27</x:v>
      </x:c>
      <x:c r="P46" s="177" t="n">
        <x:v>30</x:v>
      </x:c>
      <x:c r="Q46" s="151" t="str">
        <x:v>https://leetcode.com/problems/search-in-rotated-sorted-array/</x:v>
      </x:c>
      <x:c r="R46" s="112" t="str">
        <x:v>https://www.techinterviewhandbook.org/grind75/</x:v>
      </x:c>
    </x:row>
    <x:row r="47" ht="32" customHeight="1">
      <x:c r="A47" s="99" t="n">
        <x:v>43</x:v>
      </x:c>
      <x:c r="B47" s="145" t="n">
        <x:v>39</x:v>
      </x:c>
      <x:c r="C47" s="151" t="str">
        <x:v>组合总和</x:v>
      </x:c>
      <x:c r="D47" s="151" t="str">
        <x:v>Combination Sum</x:v>
      </x:c>
      <x:c r="E47" s="145" t="str">
        <x:v>中等</x:v>
      </x:c>
      <x:c r="F47" s="145" t="str">
        <x:v>回溯</x:v>
      </x:c>
      <x:c r="G47" s="165" t="str">
        <x:v>回溯</x:v>
      </x:c>
      <x:c r="H47" s="165" t="str">
        <x:v>可重复选择的组合搜索</x:v>
      </x:c>
      <x:c r="I47" s="165" t="str">
        <x:v>Grind 75核心</x:v>
      </x:c>
      <x:c r="J47" s="145" t="n">
        <x:v>17</x:v>
      </x:c>
      <x:c r="K47" s="145" t="n">
        <x:v>18</x:v>
      </x:c>
      <x:c r="L47" s="145" t="n">
        <x:v>44</x:v>
      </x:c>
      <x:c r="M47" s="145" t="n">
        <x:v>1</x:v>
      </x:c>
      <x:c r="N47" s="145" t="n">
        <x:v>27</x:v>
      </x:c>
      <x:c r="O47" s="145" t="n">
        <x:v>26</x:v>
      </x:c>
      <x:c r="P47" s="177" t="n">
        <x:v>30</x:v>
      </x:c>
      <x:c r="Q47" s="151" t="str">
        <x:v>https://leetcode.com/problems/combination-sum/</x:v>
      </x:c>
      <x:c r="R47" s="112" t="str">
        <x:v>https://www.techinterviewhandbook.org/grind75/</x:v>
      </x:c>
    </x:row>
    <x:row r="48" ht="32" customHeight="1">
      <x:c r="A48" s="99" t="n">
        <x:v>44</x:v>
      </x:c>
      <x:c r="B48" s="145" t="n">
        <x:v>46</x:v>
      </x:c>
      <x:c r="C48" s="151" t="str">
        <x:v>全排列</x:v>
      </x:c>
      <x:c r="D48" s="151" t="str">
        <x:v>Permutations</x:v>
      </x:c>
      <x:c r="E48" s="145" t="str">
        <x:v>中等</x:v>
      </x:c>
      <x:c r="F48" s="145" t="str">
        <x:v>回溯</x:v>
      </x:c>
      <x:c r="G48" s="165" t="str">
        <x:v>回溯</x:v>
      </x:c>
      <x:c r="H48" s="165" t="str">
        <x:v>排列搜索与使用标记</x:v>
      </x:c>
      <x:c r="I48" s="165" t="str">
        <x:v>Grind 75核心</x:v>
      </x:c>
      <x:c r="J48" s="145" t="n">
        <x:v>17</x:v>
      </x:c>
      <x:c r="K48" s="145" t="n">
        <x:v>18</x:v>
      </x:c>
      <x:c r="L48" s="145" t="n">
        <x:v>45</x:v>
      </x:c>
      <x:c r="M48" s="145" t="n">
        <x:v>1</x:v>
      </x:c>
      <x:c r="N48" s="145" t="n">
        <x:v>28</x:v>
      </x:c>
      <x:c r="O48" s="145" t="n">
        <x:v>27</x:v>
      </x:c>
      <x:c r="P48" s="177" t="n">
        <x:v>30</x:v>
      </x:c>
      <x:c r="Q48" s="151" t="str">
        <x:v>https://leetcode.com/problems/permutations/</x:v>
      </x:c>
      <x:c r="R48" s="112" t="str">
        <x:v>https://www.techinterviewhandbook.org/grind75/</x:v>
      </x:c>
    </x:row>
    <x:row r="49" ht="32" customHeight="1">
      <x:c r="A49" s="99" t="n">
        <x:v>45</x:v>
      </x:c>
      <x:c r="B49" s="145" t="n">
        <x:v>56</x:v>
      </x:c>
      <x:c r="C49" s="151" t="str">
        <x:v>合并区间</x:v>
      </x:c>
      <x:c r="D49" s="151" t="str">
        <x:v>Merge Intervals</x:v>
      </x:c>
      <x:c r="E49" s="145" t="str">
        <x:v>中等</x:v>
      </x:c>
      <x:c r="F49" s="145" t="str">
        <x:v>贪心与区间</x:v>
      </x:c>
      <x:c r="G49" s="165" t="str">
        <x:v>区间与贪心</x:v>
      </x:c>
      <x:c r="H49" s="165" t="str">
        <x:v>排序后合并</x:v>
      </x:c>
      <x:c r="I49" s="165" t="str">
        <x:v>Grind 75核心</x:v>
      </x:c>
      <x:c r="J49" s="145" t="n">
        <x:v>18</x:v>
      </x:c>
      <x:c r="K49" s="145" t="n">
        <x:v>19</x:v>
      </x:c>
      <x:c r="L49" s="145" t="n">
        <x:v>46</x:v>
      </x:c>
      <x:c r="M49" s="145" t="n">
        <x:v>1</x:v>
      </x:c>
      <x:c r="N49" s="145" t="n">
        <x:v>28</x:v>
      </x:c>
      <x:c r="O49" s="145" t="n">
        <x:v>27</x:v>
      </x:c>
      <x:c r="P49" s="177" t="n">
        <x:v>30</x:v>
      </x:c>
      <x:c r="Q49" s="151" t="str">
        <x:v>https://leetcode.com/problems/merge-intervals/</x:v>
      </x:c>
      <x:c r="R49" s="112" t="str">
        <x:v>https://www.techinterviewhandbook.org/grind75/</x:v>
      </x:c>
    </x:row>
    <x:row r="50" ht="32" customHeight="1">
      <x:c r="A50" s="99" t="n">
        <x:v>46</x:v>
      </x:c>
      <x:c r="B50" s="145" t="n">
        <x:v>236</x:v>
      </x:c>
      <x:c r="C50" s="151" t="str">
        <x:v>二叉树的最近公共祖先</x:v>
      </x:c>
      <x:c r="D50" s="151" t="str">
        <x:v>Lowest Common Ancestor of a Binary Tree</x:v>
      </x:c>
      <x:c r="E50" s="145" t="str">
        <x:v>中等</x:v>
      </x:c>
      <x:c r="F50" s="145" t="str">
        <x:v>树与递归</x:v>
      </x:c>
      <x:c r="G50" s="165" t="str">
        <x:v>二叉树</x:v>
      </x:c>
      <x:c r="H50" s="165" t="str">
        <x:v>后序递归汇总</x:v>
      </x:c>
      <x:c r="I50" s="165" t="str">
        <x:v>Grind 75核心</x:v>
      </x:c>
      <x:c r="J50" s="145" t="n">
        <x:v>18</x:v>
      </x:c>
      <x:c r="K50" s="145" t="n">
        <x:v>19</x:v>
      </x:c>
      <x:c r="L50" s="145" t="n">
        <x:v>46</x:v>
      </x:c>
      <x:c r="M50" s="145" t="n">
        <x:v>1</x:v>
      </x:c>
      <x:c r="N50" s="145" t="n">
        <x:v>28</x:v>
      </x:c>
      <x:c r="O50" s="145" t="n">
        <x:v>27</x:v>
      </x:c>
      <x:c r="P50" s="177" t="n">
        <x:v>25</x:v>
      </x:c>
      <x:c r="Q50" s="151" t="str">
        <x:v>https://leetcode.com/problems/lowest-common-ancestor-of-a-binary-tree/</x:v>
      </x:c>
      <x:c r="R50" s="112" t="str">
        <x:v>https://www.techinterviewhandbook.org/grind75/</x:v>
      </x:c>
    </x:row>
    <x:row r="51" ht="32" customHeight="1">
      <x:c r="A51" s="99" t="n">
        <x:v>47</x:v>
      </x:c>
      <x:c r="B51" s="145" t="n">
        <x:v>981</x:v>
      </x:c>
      <x:c r="C51" s="151" t="str">
        <x:v>基于时间的键值存储</x:v>
      </x:c>
      <x:c r="D51" s="151" t="str">
        <x:v>Time Based Key Value Store</x:v>
      </x:c>
      <x:c r="E51" s="145" t="str">
        <x:v>中等</x:v>
      </x:c>
      <x:c r="F51" s="145" t="str">
        <x:v>二分查找</x:v>
      </x:c>
      <x:c r="G51" s="165" t="str">
        <x:v>二分查找</x:v>
      </x:c>
      <x:c r="H51" s="165" t="str">
        <x:v>时间序列二分</x:v>
      </x:c>
      <x:c r="I51" s="165" t="str">
        <x:v>Grind 75核心</x:v>
      </x:c>
      <x:c r="J51" s="145" t="n">
        <x:v>19</x:v>
      </x:c>
      <x:c r="K51" s="145" t="n">
        <x:v>20</x:v>
      </x:c>
      <x:c r="L51" s="145" t="n">
        <x:v>46</x:v>
      </x:c>
      <x:c r="M51" s="145" t="n">
        <x:v>1</x:v>
      </x:c>
      <x:c r="N51" s="145" t="n">
        <x:v>27</x:v>
      </x:c>
      <x:c r="O51" s="145" t="n">
        <x:v>26</x:v>
      </x:c>
      <x:c r="P51" s="177" t="n">
        <x:v>35</x:v>
      </x:c>
      <x:c r="Q51" s="151" t="str">
        <x:v>https://leetcode.com/problems/time-based-key-value-store/</x:v>
      </x:c>
      <x:c r="R51" s="112" t="str">
        <x:v>https://www.techinterviewhandbook.org/grind75/</x:v>
      </x:c>
    </x:row>
    <x:row r="52" ht="32" customHeight="1">
      <x:c r="A52" s="99" t="n">
        <x:v>48</x:v>
      </x:c>
      <x:c r="B52" s="145" t="n">
        <x:v>721</x:v>
      </x:c>
      <x:c r="C52" s="151" t="str">
        <x:v>账户合并</x:v>
      </x:c>
      <x:c r="D52" s="151" t="str">
        <x:v>Accounts Merge</x:v>
      </x:c>
      <x:c r="E52" s="145" t="str">
        <x:v>中等</x:v>
      </x:c>
      <x:c r="F52" s="145" t="str">
        <x:v>图与并查集</x:v>
      </x:c>
      <x:c r="G52" s="165" t="str">
        <x:v>图论</x:v>
      </x:c>
      <x:c r="H52" s="165" t="str">
        <x:v>并查集或图遍历</x:v>
      </x:c>
      <x:c r="I52" s="165" t="str">
        <x:v>Grind 75核心</x:v>
      </x:c>
      <x:c r="J52" s="145" t="n">
        <x:v>19</x:v>
      </x:c>
      <x:c r="K52" s="145" t="n">
        <x:v>20</x:v>
      </x:c>
      <x:c r="L52" s="145" t="n">
        <x:v>47</x:v>
      </x:c>
      <x:c r="M52" s="145" t="n">
        <x:v>1</x:v>
      </x:c>
      <x:c r="N52" s="145" t="n">
        <x:v>28</x:v>
      </x:c>
      <x:c r="O52" s="145" t="n">
        <x:v>27</x:v>
      </x:c>
      <x:c r="P52" s="177" t="n">
        <x:v>30</x:v>
      </x:c>
      <x:c r="Q52" s="151" t="str">
        <x:v>https://leetcode.com/problems/accounts-merge/</x:v>
      </x:c>
      <x:c r="R52" s="112" t="str">
        <x:v>https://www.techinterviewhandbook.org/grind75/</x:v>
      </x:c>
    </x:row>
    <x:row r="53" ht="32" customHeight="1">
      <x:c r="A53" s="99" t="n">
        <x:v>49</x:v>
      </x:c>
      <x:c r="B53" s="145" t="n">
        <x:v>75</x:v>
      </x:c>
      <x:c r="C53" s="151" t="str">
        <x:v>颜色分类</x:v>
      </x:c>
      <x:c r="D53" s="151" t="str">
        <x:v>Sort Colors</x:v>
      </x:c>
      <x:c r="E53" s="145" t="str">
        <x:v>中等</x:v>
      </x:c>
      <x:c r="F53" s="145" t="str">
        <x:v>双指针</x:v>
      </x:c>
      <x:c r="G53" s="165" t="str">
        <x:v>双指针</x:v>
      </x:c>
      <x:c r="H53" s="165" t="str">
        <x:v>荷兰国旗三指针</x:v>
      </x:c>
      <x:c r="I53" s="165" t="str">
        <x:v>Grind 75核心</x:v>
      </x:c>
      <x:c r="J53" s="145" t="n">
        <x:v>20</x:v>
      </x:c>
      <x:c r="K53" s="145" t="n">
        <x:v>22</x:v>
      </x:c>
      <x:c r="L53" s="145" t="n">
        <x:v>47</x:v>
      </x:c>
      <x:c r="M53" s="145" t="n">
        <x:v>2</x:v>
      </x:c>
      <x:c r="N53" s="145" t="n">
        <x:v>27</x:v>
      </x:c>
      <x:c r="O53" s="145" t="n">
        <x:v>25</x:v>
      </x:c>
      <x:c r="P53" s="177" t="n">
        <x:v>25</x:v>
      </x:c>
      <x:c r="Q53" s="151" t="str">
        <x:v>https://leetcode.com/problems/sort-colors/</x:v>
      </x:c>
      <x:c r="R53" s="112" t="str">
        <x:v>https://www.techinterviewhandbook.org/grind75/</x:v>
      </x:c>
    </x:row>
    <x:row r="54" ht="32" customHeight="1">
      <x:c r="A54" s="99" t="n">
        <x:v>50</x:v>
      </x:c>
      <x:c r="B54" s="145" t="n">
        <x:v>139</x:v>
      </x:c>
      <x:c r="C54" s="151" t="str">
        <x:v>单词拆分</x:v>
      </x:c>
      <x:c r="D54" s="151" t="str">
        <x:v>Word Break</x:v>
      </x:c>
      <x:c r="E54" s="145" t="str">
        <x:v>中等</x:v>
      </x:c>
      <x:c r="F54" s="145" t="str">
        <x:v>动态规划</x:v>
      </x:c>
      <x:c r="G54" s="165" t="str">
        <x:v>动态规划</x:v>
      </x:c>
      <x:c r="H54" s="165" t="str">
        <x:v>字符串划分状态转移</x:v>
      </x:c>
      <x:c r="I54" s="165" t="str">
        <x:v>Grind 75核心</x:v>
      </x:c>
      <x:c r="J54" s="145" t="n">
        <x:v>20</x:v>
      </x:c>
      <x:c r="K54" s="145" t="n">
        <x:v>22</x:v>
      </x:c>
      <x:c r="L54" s="145" t="n">
        <x:v>47</x:v>
      </x:c>
      <x:c r="M54" s="145" t="n">
        <x:v>2</x:v>
      </x:c>
      <x:c r="N54" s="145" t="n">
        <x:v>27</x:v>
      </x:c>
      <x:c r="O54" s="145" t="n">
        <x:v>25</x:v>
      </x:c>
      <x:c r="P54" s="177" t="n">
        <x:v>30</x:v>
      </x:c>
      <x:c r="Q54" s="151" t="str">
        <x:v>https://leetcode.com/problems/word-break/</x:v>
      </x:c>
      <x:c r="R54" s="112" t="str">
        <x:v>https://www.techinterviewhandbook.org/grind75/</x:v>
      </x:c>
    </x:row>
    <x:row r="55" ht="32" customHeight="1">
      <x:c r="A55" s="99" t="n">
        <x:v>51</x:v>
      </x:c>
      <x:c r="B55" s="145" t="n">
        <x:v>416</x:v>
      </x:c>
      <x:c r="C55" s="151" t="str">
        <x:v>分割等和子集</x:v>
      </x:c>
      <x:c r="D55" s="151" t="str">
        <x:v>Partition Equal Subset Sum</x:v>
      </x:c>
      <x:c r="E55" s="145" t="str">
        <x:v>中等</x:v>
      </x:c>
      <x:c r="F55" s="145" t="str">
        <x:v>动态规划</x:v>
      </x:c>
      <x:c r="G55" s="165" t="str">
        <x:v>动态规划</x:v>
      </x:c>
      <x:c r="H55" s="165" t="str">
        <x:v>零一背包可行性</x:v>
      </x:c>
      <x:c r="I55" s="165" t="str">
        <x:v>Grind 75核心</x:v>
      </x:c>
      <x:c r="J55" s="145" t="n">
        <x:v>21</x:v>
      </x:c>
      <x:c r="K55" s="145" t="n">
        <x:v>23</x:v>
      </x:c>
      <x:c r="L55" s="145" t="n">
        <x:v>48</x:v>
      </x:c>
      <x:c r="M55" s="145" t="n">
        <x:v>2</x:v>
      </x:c>
      <x:c r="N55" s="145" t="n">
        <x:v>27</x:v>
      </x:c>
      <x:c r="O55" s="145" t="n">
        <x:v>25</x:v>
      </x:c>
      <x:c r="P55" s="177" t="n">
        <x:v>30</x:v>
      </x:c>
      <x:c r="Q55" s="151" t="str">
        <x:v>https://leetcode.com/problems/partition-equal-subset-sum/</x:v>
      </x:c>
      <x:c r="R55" s="112" t="str">
        <x:v>https://www.techinterviewhandbook.org/grind75/</x:v>
      </x:c>
    </x:row>
    <x:row r="56" ht="32" customHeight="1">
      <x:c r="A56" s="99" t="n">
        <x:v>52</x:v>
      </x:c>
      <x:c r="B56" s="145" t="n">
        <x:v>8</x:v>
      </x:c>
      <x:c r="C56" s="151" t="str">
        <x:v>字符串转换整数</x:v>
      </x:c>
      <x:c r="D56" s="151" t="str">
        <x:v>String to Integer atoi</x:v>
      </x:c>
      <x:c r="E56" s="145" t="str">
        <x:v>中等</x:v>
      </x:c>
      <x:c r="F56" s="145" t="str">
        <x:v>字符串</x:v>
      </x:c>
      <x:c r="G56" s="165" t="str">
        <x:v>字符串与模拟</x:v>
      </x:c>
      <x:c r="H56" s="165" t="str">
        <x:v>状态解析与溢出处理</x:v>
      </x:c>
      <x:c r="I56" s="165" t="str">
        <x:v>Grind 75核心</x:v>
      </x:c>
      <x:c r="J56" s="145" t="n">
        <x:v>21</x:v>
      </x:c>
      <x:c r="K56" s="145" t="n">
        <x:v>24</x:v>
      </x:c>
      <x:c r="L56" s="145" t="n">
        <x:v>48</x:v>
      </x:c>
      <x:c r="M56" s="145" t="n">
        <x:v>3</x:v>
      </x:c>
      <x:c r="N56" s="145" t="n">
        <x:v>27</x:v>
      </x:c>
      <x:c r="O56" s="145" t="n">
        <x:v>24</x:v>
      </x:c>
      <x:c r="P56" s="177" t="n">
        <x:v>25</x:v>
      </x:c>
      <x:c r="Q56" s="151" t="str">
        <x:v>https://leetcode.com/problems/string-to-integer-atoi/</x:v>
      </x:c>
      <x:c r="R56" s="112" t="str">
        <x:v>https://www.techinterviewhandbook.org/grind75/</x:v>
      </x:c>
    </x:row>
    <x:row r="57" ht="32" customHeight="1">
      <x:c r="A57" s="99" t="n">
        <x:v>53</x:v>
      </x:c>
      <x:c r="B57" s="145" t="n">
        <x:v>54</x:v>
      </x:c>
      <x:c r="C57" s="151" t="str">
        <x:v>螺旋矩阵</x:v>
      </x:c>
      <x:c r="D57" s="151" t="str">
        <x:v>Spiral Matrix</x:v>
      </x:c>
      <x:c r="E57" s="145" t="str">
        <x:v>中等</x:v>
      </x:c>
      <x:c r="F57" s="145" t="str">
        <x:v>矩阵</x:v>
      </x:c>
      <x:c r="G57" s="165" t="str">
        <x:v>矩阵与模拟</x:v>
      </x:c>
      <x:c r="H57" s="165" t="str">
        <x:v>边界收缩模拟</x:v>
      </x:c>
      <x:c r="I57" s="165" t="str">
        <x:v>Grind 75核心</x:v>
      </x:c>
      <x:c r="J57" s="145" t="n">
        <x:v>22</x:v>
      </x:c>
      <x:c r="K57" s="145" t="n">
        <x:v>25</x:v>
      </x:c>
      <x:c r="L57" s="145" t="n">
        <x:v>49</x:v>
      </x:c>
      <x:c r="M57" s="145" t="n">
        <x:v>3</x:v>
      </x:c>
      <x:c r="N57" s="145" t="n">
        <x:v>27</x:v>
      </x:c>
      <x:c r="O57" s="145" t="n">
        <x:v>24</x:v>
      </x:c>
      <x:c r="P57" s="177" t="n">
        <x:v>25</x:v>
      </x:c>
      <x:c r="Q57" s="151" t="str">
        <x:v>https://leetcode.com/problems/spiral-matrix/</x:v>
      </x:c>
      <x:c r="R57" s="112" t="str">
        <x:v>https://www.techinterviewhandbook.org/grind75/</x:v>
      </x:c>
    </x:row>
    <x:row r="58" ht="32" customHeight="1">
      <x:c r="A58" s="99" t="n">
        <x:v>54</x:v>
      </x:c>
      <x:c r="B58" s="145" t="n">
        <x:v>78</x:v>
      </x:c>
      <x:c r="C58" s="151" t="str">
        <x:v>子集</x:v>
      </x:c>
      <x:c r="D58" s="151" t="str">
        <x:v>Subsets</x:v>
      </x:c>
      <x:c r="E58" s="145" t="str">
        <x:v>中等</x:v>
      </x:c>
      <x:c r="F58" s="145" t="str">
        <x:v>回溯</x:v>
      </x:c>
      <x:c r="G58" s="165" t="str">
        <x:v>回溯</x:v>
      </x:c>
      <x:c r="H58" s="165" t="str">
        <x:v>子集型搜索</x:v>
      </x:c>
      <x:c r="I58" s="165" t="str">
        <x:v>Grind 75核心</x:v>
      </x:c>
      <x:c r="J58" s="145" t="n">
        <x:v>22</x:v>
      </x:c>
      <x:c r="K58" s="145" t="n">
        <x:v>26</x:v>
      </x:c>
      <x:c r="L58" s="145" t="n">
        <x:v>50</x:v>
      </x:c>
      <x:c r="M58" s="145" t="n">
        <x:v>4</x:v>
      </x:c>
      <x:c r="N58" s="145" t="n">
        <x:v>28</x:v>
      </x:c>
      <x:c r="O58" s="145" t="n">
        <x:v>24</x:v>
      </x:c>
      <x:c r="P58" s="177" t="n">
        <x:v>30</x:v>
      </x:c>
      <x:c r="Q58" s="151" t="str">
        <x:v>https://leetcode.com/problems/subsets/</x:v>
      </x:c>
      <x:c r="R58" s="112" t="str">
        <x:v>https://www.techinterviewhandbook.org/grind75/</x:v>
      </x:c>
    </x:row>
    <x:row r="59" ht="32" customHeight="1">
      <x:c r="A59" s="99" t="n">
        <x:v>55</x:v>
      </x:c>
      <x:c r="B59" s="145" t="n">
        <x:v>199</x:v>
      </x:c>
      <x:c r="C59" s="151" t="str">
        <x:v>二叉树的右视图</x:v>
      </x:c>
      <x:c r="D59" s="151" t="str">
        <x:v>Binary Tree Right Side View</x:v>
      </x:c>
      <x:c r="E59" s="145" t="str">
        <x:v>中等</x:v>
      </x:c>
      <x:c r="F59" s="145" t="str">
        <x:v>树与递归</x:v>
      </x:c>
      <x:c r="G59" s="165" t="str">
        <x:v>二叉树</x:v>
      </x:c>
      <x:c r="H59" s="165" t="str">
        <x:v>层序遍历或右优先深搜</x:v>
      </x:c>
      <x:c r="I59" s="165" t="str">
        <x:v>Grind 75核心</x:v>
      </x:c>
      <x:c r="J59" s="145" t="n">
        <x:v>23</x:v>
      </x:c>
      <x:c r="K59" s="145" t="n">
        <x:v>27</x:v>
      </x:c>
      <x:c r="L59" s="145" t="n">
        <x:v>50</x:v>
      </x:c>
      <x:c r="M59" s="145" t="n">
        <x:v>4</x:v>
      </x:c>
      <x:c r="N59" s="145" t="n">
        <x:v>27</x:v>
      </x:c>
      <x:c r="O59" s="145" t="n">
        <x:v>23</x:v>
      </x:c>
      <x:c r="P59" s="177" t="n">
        <x:v>20</x:v>
      </x:c>
      <x:c r="Q59" s="151" t="str">
        <x:v>https://leetcode.com/problems/binary-tree-right-side-view/</x:v>
      </x:c>
      <x:c r="R59" s="112" t="str">
        <x:v>https://www.techinterviewhandbook.org/grind75/</x:v>
      </x:c>
    </x:row>
    <x:row r="60" ht="32" customHeight="1">
      <x:c r="A60" s="99" t="n">
        <x:v>56</x:v>
      </x:c>
      <x:c r="B60" s="145" t="n">
        <x:v>5</x:v>
      </x:c>
      <x:c r="C60" s="151" t="str">
        <x:v>最长回文子串</x:v>
      </x:c>
      <x:c r="D60" s="151" t="str">
        <x:v>Longest Palindromic Substring</x:v>
      </x:c>
      <x:c r="E60" s="145" t="str">
        <x:v>中等</x:v>
      </x:c>
      <x:c r="F60" s="145" t="str">
        <x:v>动态规划</x:v>
      </x:c>
      <x:c r="G60" s="165" t="str">
        <x:v>字符串与动态规划</x:v>
      </x:c>
      <x:c r="H60" s="165" t="str">
        <x:v>中心扩展</x:v>
      </x:c>
      <x:c r="I60" s="165" t="str">
        <x:v>Grind 75核心</x:v>
      </x:c>
      <x:c r="J60" s="145" t="n">
        <x:v>23</x:v>
      </x:c>
      <x:c r="K60" s="145" t="n">
        <x:v>27</x:v>
      </x:c>
      <x:c r="L60" s="145" t="n">
        <x:v>50</x:v>
      </x:c>
      <x:c r="M60" s="145" t="n">
        <x:v>4</x:v>
      </x:c>
      <x:c r="N60" s="145" t="n">
        <x:v>27</x:v>
      </x:c>
      <x:c r="O60" s="145" t="n">
        <x:v>23</x:v>
      </x:c>
      <x:c r="P60" s="177" t="n">
        <x:v>25</x:v>
      </x:c>
      <x:c r="Q60" s="151" t="str">
        <x:v>https://leetcode.com/problems/longest-palindromic-substring/</x:v>
      </x:c>
      <x:c r="R60" s="112" t="str">
        <x:v>https://www.techinterviewhandbook.org/grind75/</x:v>
      </x:c>
    </x:row>
    <x:row r="61" ht="32" customHeight="1">
      <x:c r="A61" s="99" t="n">
        <x:v>57</x:v>
      </x:c>
      <x:c r="B61" s="145" t="n">
        <x:v>62</x:v>
      </x:c>
      <x:c r="C61" s="151" t="str">
        <x:v>不同路径</x:v>
      </x:c>
      <x:c r="D61" s="151" t="str">
        <x:v>Unique Paths</x:v>
      </x:c>
      <x:c r="E61" s="145" t="str">
        <x:v>中等</x:v>
      </x:c>
      <x:c r="F61" s="145" t="str">
        <x:v>动态规划</x:v>
      </x:c>
      <x:c r="G61" s="165" t="str">
        <x:v>动态规划</x:v>
      </x:c>
      <x:c r="H61" s="165" t="str">
        <x:v>网格状态转移</x:v>
      </x:c>
      <x:c r="I61" s="165" t="str">
        <x:v>Grind 75核心</x:v>
      </x:c>
      <x:c r="J61" s="145" t="n">
        <x:v>24</x:v>
      </x:c>
      <x:c r="K61" s="145" t="n">
        <x:v>29</x:v>
      </x:c>
      <x:c r="L61" s="145" t="n">
        <x:v>51</x:v>
      </x:c>
      <x:c r="M61" s="145" t="n">
        <x:v>5</x:v>
      </x:c>
      <x:c r="N61" s="145" t="n">
        <x:v>27</x:v>
      </x:c>
      <x:c r="O61" s="145" t="n">
        <x:v>22</x:v>
      </x:c>
      <x:c r="P61" s="177" t="n">
        <x:v>20</x:v>
      </x:c>
      <x:c r="Q61" s="151" t="str">
        <x:v>https://leetcode.com/problems/unique-paths/</x:v>
      </x:c>
      <x:c r="R61" s="112" t="str">
        <x:v>https://www.techinterviewhandbook.org/grind75/</x:v>
      </x:c>
    </x:row>
    <x:row r="62" ht="32" customHeight="1">
      <x:c r="A62" s="99" t="n">
        <x:v>58</x:v>
      </x:c>
      <x:c r="B62" s="145" t="n">
        <x:v>105</x:v>
      </x:c>
      <x:c r="C62" s="151" t="str">
        <x:v>从前序与中序遍历序列构造二叉树</x:v>
      </x:c>
      <x:c r="D62" s="151" t="str">
        <x:v>Construct Binary Tree from Preorder and Inorder Traversal</x:v>
      </x:c>
      <x:c r="E62" s="145" t="str">
        <x:v>中等</x:v>
      </x:c>
      <x:c r="F62" s="145" t="str">
        <x:v>树与递归</x:v>
      </x:c>
      <x:c r="G62" s="165" t="str">
        <x:v>二叉树</x:v>
      </x:c>
      <x:c r="H62" s="165" t="str">
        <x:v>分治与索引映射</x:v>
      </x:c>
      <x:c r="I62" s="165" t="str">
        <x:v>Grind 75核心</x:v>
      </x:c>
      <x:c r="J62" s="145" t="n">
        <x:v>24</x:v>
      </x:c>
      <x:c r="K62" s="145" t="n">
        <x:v>28</x:v>
      </x:c>
      <x:c r="L62" s="145" t="n">
        <x:v>51</x:v>
      </x:c>
      <x:c r="M62" s="145" t="n">
        <x:v>4</x:v>
      </x:c>
      <x:c r="N62" s="145" t="n">
        <x:v>27</x:v>
      </x:c>
      <x:c r="O62" s="145" t="n">
        <x:v>23</x:v>
      </x:c>
      <x:c r="P62" s="177" t="n">
        <x:v>25</x:v>
      </x:c>
      <x:c r="Q62" s="151" t="str">
        <x:v>https://leetcode.com/problems/construct-binary-tree-from-preorder-and-inorder-traversal/</x:v>
      </x:c>
      <x:c r="R62" s="112" t="str">
        <x:v>https://www.techinterviewhandbook.org/grind75/</x:v>
      </x:c>
    </x:row>
    <x:row r="63" ht="32" customHeight="1">
      <x:c r="A63" s="99" t="n">
        <x:v>59</x:v>
      </x:c>
      <x:c r="B63" s="145" t="n">
        <x:v>11</x:v>
      </x:c>
      <x:c r="C63" s="151" t="str">
        <x:v>盛最多水的容器</x:v>
      </x:c>
      <x:c r="D63" s="151" t="str">
        <x:v>Container With Most Water</x:v>
      </x:c>
      <x:c r="E63" s="145" t="str">
        <x:v>中等</x:v>
      </x:c>
      <x:c r="F63" s="145" t="str">
        <x:v>双指针</x:v>
      </x:c>
      <x:c r="G63" s="165" t="str">
        <x:v>双指针</x:v>
      </x:c>
      <x:c r="H63" s="165" t="str">
        <x:v>对撞指针与单调决策</x:v>
      </x:c>
      <x:c r="I63" s="165" t="str">
        <x:v>Grind 75核心</x:v>
      </x:c>
      <x:c r="J63" s="145" t="n">
        <x:v>25</x:v>
      </x:c>
      <x:c r="K63" s="145" t="n">
        <x:v>30</x:v>
      </x:c>
      <x:c r="L63" s="145" t="n">
        <x:v>51</x:v>
      </x:c>
      <x:c r="M63" s="145" t="n">
        <x:v>5</x:v>
      </x:c>
      <x:c r="N63" s="145" t="n">
        <x:v>26</x:v>
      </x:c>
      <x:c r="O63" s="145" t="n">
        <x:v>21</x:v>
      </x:c>
      <x:c r="P63" s="177" t="n">
        <x:v>35</x:v>
      </x:c>
      <x:c r="Q63" s="151" t="str">
        <x:v>https://leetcode.com/problems/container-with-most-water/</x:v>
      </x:c>
      <x:c r="R63" s="112" t="str">
        <x:v>https://www.techinterviewhandbook.org/grind75/</x:v>
      </x:c>
    </x:row>
    <x:row r="64" ht="32" customHeight="1">
      <x:c r="A64" s="99" t="n">
        <x:v>60</x:v>
      </x:c>
      <x:c r="B64" s="145" t="n">
        <x:v>17</x:v>
      </x:c>
      <x:c r="C64" s="151" t="str">
        <x:v>电话号码的字母组合</x:v>
      </x:c>
      <x:c r="D64" s="151" t="str">
        <x:v>Letter Combinations of a Phone Number</x:v>
      </x:c>
      <x:c r="E64" s="145" t="str">
        <x:v>中等</x:v>
      </x:c>
      <x:c r="F64" s="145" t="str">
        <x:v>回溯</x:v>
      </x:c>
      <x:c r="G64" s="165" t="str">
        <x:v>回溯</x:v>
      </x:c>
      <x:c r="H64" s="165" t="str">
        <x:v>多叉树组合搜索</x:v>
      </x:c>
      <x:c r="I64" s="165" t="str">
        <x:v>Grind 75核心</x:v>
      </x:c>
      <x:c r="J64" s="145" t="n">
        <x:v>25</x:v>
      </x:c>
      <x:c r="K64" s="145" t="n">
        <x:v>30</x:v>
      </x:c>
      <x:c r="L64" s="145" t="n">
        <x:v>51</x:v>
      </x:c>
      <x:c r="M64" s="145" t="n">
        <x:v>5</x:v>
      </x:c>
      <x:c r="N64" s="145" t="n">
        <x:v>26</x:v>
      </x:c>
      <x:c r="O64" s="145" t="n">
        <x:v>21</x:v>
      </x:c>
      <x:c r="P64" s="177" t="n">
        <x:v>30</x:v>
      </x:c>
      <x:c r="Q64" s="151" t="str">
        <x:v>https://leetcode.com/problems/letter-combinations-of-a-phone-number/</x:v>
      </x:c>
      <x:c r="R64" s="112" t="str">
        <x:v>https://www.techinterviewhandbook.org/grind75/</x:v>
      </x:c>
    </x:row>
    <x:row r="65" ht="32" customHeight="1">
      <x:c r="A65" s="99" t="n">
        <x:v>61</x:v>
      </x:c>
      <x:c r="B65" s="145" t="n">
        <x:v>79</x:v>
      </x:c>
      <x:c r="C65" s="151" t="str">
        <x:v>单词搜索</x:v>
      </x:c>
      <x:c r="D65" s="151" t="str">
        <x:v>Word Search</x:v>
      </x:c>
      <x:c r="E65" s="145" t="str">
        <x:v>中等</x:v>
      </x:c>
      <x:c r="F65" s="145" t="str">
        <x:v>图与并查集</x:v>
      </x:c>
      <x:c r="G65" s="165" t="str">
        <x:v>回溯与图论</x:v>
      </x:c>
      <x:c r="H65" s="165" t="str">
        <x:v>网格回溯</x:v>
      </x:c>
      <x:c r="I65" s="165" t="str">
        <x:v>Grind 75核心</x:v>
      </x:c>
      <x:c r="J65" s="145" t="n">
        <x:v>26</x:v>
      </x:c>
      <x:c r="K65" s="145" t="n">
        <x:v>31</x:v>
      </x:c>
      <x:c r="L65" s="145" t="n">
        <x:v>52</x:v>
      </x:c>
      <x:c r="M65" s="145" t="n">
        <x:v>5</x:v>
      </x:c>
      <x:c r="N65" s="145" t="n">
        <x:v>26</x:v>
      </x:c>
      <x:c r="O65" s="145" t="n">
        <x:v>21</x:v>
      </x:c>
      <x:c r="P65" s="177" t="n">
        <x:v>30</x:v>
      </x:c>
      <x:c r="Q65" s="151" t="str">
        <x:v>https://leetcode.com/problems/word-search/</x:v>
      </x:c>
      <x:c r="R65" s="112" t="str">
        <x:v>https://www.techinterviewhandbook.org/grind75/</x:v>
      </x:c>
    </x:row>
    <x:row r="66" ht="32" customHeight="1">
      <x:c r="A66" s="99" t="n">
        <x:v>62</x:v>
      </x:c>
      <x:c r="B66" s="145" t="n">
        <x:v>438</x:v>
      </x:c>
      <x:c r="C66" s="151" t="str">
        <x:v>找到字符串中所有字母异位词</x:v>
      </x:c>
      <x:c r="D66" s="151" t="str">
        <x:v>Find All Anagrams in a String</x:v>
      </x:c>
      <x:c r="E66" s="145" t="str">
        <x:v>中等</x:v>
      </x:c>
      <x:c r="F66" s="145" t="str">
        <x:v>滑动窗口与单调队列</x:v>
      </x:c>
      <x:c r="G66" s="165" t="str">
        <x:v>滑动窗口</x:v>
      </x:c>
      <x:c r="H66" s="165" t="str">
        <x:v>定长窗口与频次</x:v>
      </x:c>
      <x:c r="I66" s="165" t="str">
        <x:v>Grind 75核心</x:v>
      </x:c>
      <x:c r="J66" s="145" t="n">
        <x:v>26</x:v>
      </x:c>
      <x:c r="K66" s="145" t="n">
        <x:v>32</x:v>
      </x:c>
      <x:c r="L66" s="145" t="n">
        <x:v>52</x:v>
      </x:c>
      <x:c r="M66" s="145" t="n">
        <x:v>6</x:v>
      </x:c>
      <x:c r="N66" s="145" t="n">
        <x:v>26</x:v>
      </x:c>
      <x:c r="O66" s="145" t="n">
        <x:v>20</x:v>
      </x:c>
      <x:c r="P66" s="177" t="n">
        <x:v>30</x:v>
      </x:c>
      <x:c r="Q66" s="151" t="str">
        <x:v>https://leetcode.com/problems/find-all-anagrams-in-a-string/</x:v>
      </x:c>
      <x:c r="R66" s="112" t="str">
        <x:v>https://www.techinterviewhandbook.org/grind75/</x:v>
      </x:c>
    </x:row>
    <x:row r="67" ht="32" customHeight="1">
      <x:c r="A67" s="99" t="n">
        <x:v>63</x:v>
      </x:c>
      <x:c r="B67" s="145" t="n">
        <x:v>310</x:v>
      </x:c>
      <x:c r="C67" s="151" t="str">
        <x:v>最小高度树</x:v>
      </x:c>
      <x:c r="D67" s="151" t="str">
        <x:v>Minimum Height Trees</x:v>
      </x:c>
      <x:c r="E67" s="145" t="str">
        <x:v>中等</x:v>
      </x:c>
      <x:c r="F67" s="145" t="str">
        <x:v>图与并查集</x:v>
      </x:c>
      <x:c r="G67" s="165" t="str">
        <x:v>图论</x:v>
      </x:c>
      <x:c r="H67" s="165" t="str">
        <x:v>拓扑剥叶</x:v>
      </x:c>
      <x:c r="I67" s="165" t="str">
        <x:v>Grind 75核心</x:v>
      </x:c>
      <x:c r="J67" s="145" t="n">
        <x:v>27</x:v>
      </x:c>
      <x:c r="K67" s="145" t="n">
        <x:v>33</x:v>
      </x:c>
      <x:c r="L67" s="145" t="n">
        <x:v>54</x:v>
      </x:c>
      <x:c r="M67" s="145" t="n">
        <x:v>6</x:v>
      </x:c>
      <x:c r="N67" s="145" t="n">
        <x:v>27</x:v>
      </x:c>
      <x:c r="O67" s="145" t="n">
        <x:v>21</x:v>
      </x:c>
      <x:c r="P67" s="177" t="n">
        <x:v>30</x:v>
      </x:c>
      <x:c r="Q67" s="151" t="str">
        <x:v>https://leetcode.com/problems/minimum-height-trees/</x:v>
      </x:c>
      <x:c r="R67" s="112" t="str">
        <x:v>https://www.techinterviewhandbook.org/grind75/</x:v>
      </x:c>
    </x:row>
    <x:row r="68" ht="32" customHeight="1">
      <x:c r="A68" s="99" t="n">
        <x:v>64</x:v>
      </x:c>
      <x:c r="B68" s="145" t="n">
        <x:v>621</x:v>
      </x:c>
      <x:c r="C68" s="151" t="str">
        <x:v>任务调度器</x:v>
      </x:c>
      <x:c r="D68" s="151" t="str">
        <x:v>Task Scheduler</x:v>
      </x:c>
      <x:c r="E68" s="145" t="str">
        <x:v>中等</x:v>
      </x:c>
      <x:c r="F68" s="145" t="str">
        <x:v>堆与优先队列</x:v>
      </x:c>
      <x:c r="G68" s="165" t="str">
        <x:v>堆与贪心</x:v>
      </x:c>
      <x:c r="H68" s="165" t="str">
        <x:v>频次计数与调度</x:v>
      </x:c>
      <x:c r="I68" s="165" t="str">
        <x:v>Grind 75核心</x:v>
      </x:c>
      <x:c r="J68" s="145" t="n">
        <x:v>27</x:v>
      </x:c>
      <x:c r="K68" s="145" t="n">
        <x:v>34</x:v>
      </x:c>
      <x:c r="L68" s="145" t="n">
        <x:v>53</x:v>
      </x:c>
      <x:c r="M68" s="145" t="n">
        <x:v>7</x:v>
      </x:c>
      <x:c r="N68" s="145" t="n">
        <x:v>26</x:v>
      </x:c>
      <x:c r="O68" s="145" t="n">
        <x:v>19</x:v>
      </x:c>
      <x:c r="P68" s="177" t="n">
        <x:v>35</x:v>
      </x:c>
      <x:c r="Q68" s="151" t="str">
        <x:v>https://leetcode.com/problems/task-scheduler/</x:v>
      </x:c>
      <x:c r="R68" s="112" t="str">
        <x:v>https://www.techinterviewhandbook.org/grind75/</x:v>
      </x:c>
    </x:row>
    <x:row r="69" ht="32" customHeight="1">
      <x:c r="A69" s="99" t="n">
        <x:v>65</x:v>
      </x:c>
      <x:c r="B69" s="145" t="n">
        <x:v>146</x:v>
      </x:c>
      <x:c r="C69" s="151" t="str">
        <x:v>LRU缓存</x:v>
      </x:c>
      <x:c r="D69" s="151" t="str">
        <x:v>LRU Cache</x:v>
      </x:c>
      <x:c r="E69" s="145" t="str">
        <x:v>中等</x:v>
      </x:c>
      <x:c r="F69" s="145" t="str">
        <x:v>设计</x:v>
      </x:c>
      <x:c r="G69" s="165" t="str">
        <x:v>设计</x:v>
      </x:c>
      <x:c r="H69" s="165" t="str">
        <x:v>哈希表与双向链表</x:v>
      </x:c>
      <x:c r="I69" s="165" t="str">
        <x:v>Grind 75核心</x:v>
      </x:c>
      <x:c r="J69" s="145" t="n">
        <x:v>28</x:v>
      </x:c>
      <x:c r="K69" s="145" t="n">
        <x:v>35</x:v>
      </x:c>
      <x:c r="L69" s="145" t="n">
        <x:v>53</x:v>
      </x:c>
      <x:c r="M69" s="145" t="n">
        <x:v>7</x:v>
      </x:c>
      <x:c r="N69" s="145" t="n">
        <x:v>25</x:v>
      </x:c>
      <x:c r="O69" s="145" t="n">
        <x:v>18</x:v>
      </x:c>
      <x:c r="P69" s="177" t="n">
        <x:v>30</x:v>
      </x:c>
      <x:c r="Q69" s="151" t="str">
        <x:v>https://leetcode.com/problems/lru-cache/</x:v>
      </x:c>
      <x:c r="R69" s="112" t="str">
        <x:v>https://www.techinterviewhandbook.org/grind75/</x:v>
      </x:c>
    </x:row>
    <x:row r="70" ht="32" customHeight="1">
      <x:c r="A70" s="99" t="n">
        <x:v>66</x:v>
      </x:c>
      <x:c r="B70" s="145" t="n">
        <x:v>230</x:v>
      </x:c>
      <x:c r="C70" s="151" t="str">
        <x:v>二叉搜索树中第K小的元素</x:v>
      </x:c>
      <x:c r="D70" s="151" t="str">
        <x:v>Kth Smallest Element in a BST</x:v>
      </x:c>
      <x:c r="E70" s="145" t="str">
        <x:v>中等</x:v>
      </x:c>
      <x:c r="F70" s="145" t="str">
        <x:v>树与递归</x:v>
      </x:c>
      <x:c r="G70" s="165" t="str">
        <x:v>二叉搜索树</x:v>
      </x:c>
      <x:c r="H70" s="165" t="str">
        <x:v>中序遍历</x:v>
      </x:c>
      <x:c r="I70" s="165" t="str">
        <x:v>Grind 75核心</x:v>
      </x:c>
      <x:c r="J70" s="145" t="n">
        <x:v>28</x:v>
      </x:c>
      <x:c r="K70" s="145" t="n">
        <x:v>35</x:v>
      </x:c>
      <x:c r="L70" s="145" t="n">
        <x:v>53</x:v>
      </x:c>
      <x:c r="M70" s="145" t="n">
        <x:v>7</x:v>
      </x:c>
      <x:c r="N70" s="145" t="n">
        <x:v>25</x:v>
      </x:c>
      <x:c r="O70" s="145" t="n">
        <x:v>18</x:v>
      </x:c>
      <x:c r="P70" s="177" t="n">
        <x:v>25</x:v>
      </x:c>
      <x:c r="Q70" s="151" t="str">
        <x:v>https://leetcode.com/problems/kth-smallest-element-in-a-bst/</x:v>
      </x:c>
      <x:c r="R70" s="112" t="str">
        <x:v>https://www.techinterviewhandbook.org/grind75/</x:v>
      </x:c>
    </x:row>
    <x:row r="71" ht="32" customHeight="1">
      <x:c r="A71" s="99" t="n">
        <x:v>67</x:v>
      </x:c>
      <x:c r="B71" s="145" t="n">
        <x:v>76</x:v>
      </x:c>
      <x:c r="C71" s="151" t="str">
        <x:v>最小覆盖子串</x:v>
      </x:c>
      <x:c r="D71" s="151" t="str">
        <x:v>Minimum Window Substring</x:v>
      </x:c>
      <x:c r="E71" s="145" t="str">
        <x:v>困难</x:v>
      </x:c>
      <x:c r="F71" s="145" t="str">
        <x:v>滑动窗口与单调队列</x:v>
      </x:c>
      <x:c r="G71" s="165" t="str">
        <x:v>滑动窗口</x:v>
      </x:c>
      <x:c r="H71" s="165" t="str">
        <x:v>满足条件后的收缩</x:v>
      </x:c>
      <x:c r="I71" s="165" t="str">
        <x:v>Grind 75核心</x:v>
      </x:c>
      <x:c r="J71" s="145" t="n">
        <x:v>29</x:v>
      </x:c>
      <x:c r="K71" s="145" t="n">
        <x:v>36</x:v>
      </x:c>
      <x:c r="L71" s="145" t="n">
        <x:v>54</x:v>
      </x:c>
      <x:c r="M71" s="145" t="n">
        <x:v>7</x:v>
      </x:c>
      <x:c r="N71" s="145" t="n">
        <x:v>25</x:v>
      </x:c>
      <x:c r="O71" s="145" t="n">
        <x:v>18</x:v>
      </x:c>
      <x:c r="P71" s="177" t="n">
        <x:v>30</x:v>
      </x:c>
      <x:c r="Q71" s="151" t="str">
        <x:v>https://leetcode.com/problems/minimum-window-substring/</x:v>
      </x:c>
      <x:c r="R71" s="112" t="str">
        <x:v>https://www.techinterviewhandbook.org/grind75/</x:v>
      </x:c>
    </x:row>
    <x:row r="72" ht="32" customHeight="1">
      <x:c r="A72" s="99" t="n">
        <x:v>68</x:v>
      </x:c>
      <x:c r="B72" s="145" t="n">
        <x:v>297</x:v>
      </x:c>
      <x:c r="C72" s="151" t="str">
        <x:v>二叉树的序列化与反序列化</x:v>
      </x:c>
      <x:c r="D72" s="151" t="str">
        <x:v>Serialize and Deserialize Binary Tree</x:v>
      </x:c>
      <x:c r="E72" s="145" t="str">
        <x:v>困难</x:v>
      </x:c>
      <x:c r="F72" s="145" t="str">
        <x:v>树与递归</x:v>
      </x:c>
      <x:c r="G72" s="165" t="str">
        <x:v>二叉树</x:v>
      </x:c>
      <x:c r="H72" s="165" t="str">
        <x:v>编解码与遍历</x:v>
      </x:c>
      <x:c r="I72" s="165" t="str">
        <x:v>Grind 75核心</x:v>
      </x:c>
      <x:c r="J72" s="145" t="n">
        <x:v>29</x:v>
      </x:c>
      <x:c r="K72" s="145" t="n">
        <x:v>36</x:v>
      </x:c>
      <x:c r="L72" s="145" t="n">
        <x:v>54</x:v>
      </x:c>
      <x:c r="M72" s="145" t="n">
        <x:v>7</x:v>
      </x:c>
      <x:c r="N72" s="145" t="n">
        <x:v>25</x:v>
      </x:c>
      <x:c r="O72" s="145" t="n">
        <x:v>18</x:v>
      </x:c>
      <x:c r="P72" s="177" t="n">
        <x:v>40</x:v>
      </x:c>
      <x:c r="Q72" s="151" t="str">
        <x:v>https://leetcode.com/problems/serialize-and-deserialize-binary-tree/</x:v>
      </x:c>
      <x:c r="R72" s="112" t="str">
        <x:v>https://www.techinterviewhandbook.org/grind75/</x:v>
      </x:c>
    </x:row>
    <x:row r="73" ht="32" customHeight="1">
      <x:c r="A73" s="99" t="n">
        <x:v>69</x:v>
      </x:c>
      <x:c r="B73" s="145" t="n">
        <x:v>42</x:v>
      </x:c>
      <x:c r="C73" s="151" t="str">
        <x:v>接雨水</x:v>
      </x:c>
      <x:c r="D73" s="151" t="str">
        <x:v>Trapping Rain Water</x:v>
      </x:c>
      <x:c r="E73" s="145" t="str">
        <x:v>困难</x:v>
      </x:c>
      <x:c r="F73" s="145" t="str">
        <x:v>单调栈</x:v>
      </x:c>
      <x:c r="G73" s="165" t="str">
        <x:v>单调栈与双指针</x:v>
      </x:c>
      <x:c r="H73" s="165" t="str">
        <x:v>左右最大值或单调栈</x:v>
      </x:c>
      <x:c r="I73" s="165" t="str">
        <x:v>Grind 75核心</x:v>
      </x:c>
      <x:c r="J73" s="145" t="n">
        <x:v>30</x:v>
      </x:c>
      <x:c r="K73" s="145" t="n">
        <x:v>37</x:v>
      </x:c>
      <x:c r="L73" s="145" t="n">
        <x:v>54</x:v>
      </x:c>
      <x:c r="M73" s="145" t="n">
        <x:v>7</x:v>
      </x:c>
      <x:c r="N73" s="145" t="n">
        <x:v>24</x:v>
      </x:c>
      <x:c r="O73" s="145" t="n">
        <x:v>17</x:v>
      </x:c>
      <x:c r="P73" s="177" t="n">
        <x:v>35</x:v>
      </x:c>
      <x:c r="Q73" s="151" t="str">
        <x:v>https://leetcode.com/problems/trapping-rain-water/</x:v>
      </x:c>
      <x:c r="R73" s="112" t="str">
        <x:v>https://www.techinterviewhandbook.org/grind75/</x:v>
      </x:c>
    </x:row>
    <x:row r="74" ht="32" customHeight="1">
      <x:c r="A74" s="99" t="n">
        <x:v>70</x:v>
      </x:c>
      <x:c r="B74" s="145" t="n">
        <x:v>295</x:v>
      </x:c>
      <x:c r="C74" s="151" t="str">
        <x:v>数据流的中位数</x:v>
      </x:c>
      <x:c r="D74" s="151" t="str">
        <x:v>Find Median from Data Stream</x:v>
      </x:c>
      <x:c r="E74" s="145" t="str">
        <x:v>困难</x:v>
      </x:c>
      <x:c r="F74" s="145" t="str">
        <x:v>堆与优先队列</x:v>
      </x:c>
      <x:c r="G74" s="165" t="str">
        <x:v>堆与优先队列</x:v>
      </x:c>
      <x:c r="H74" s="165" t="str">
        <x:v>大小堆平衡</x:v>
      </x:c>
      <x:c r="I74" s="165" t="str">
        <x:v>Grind 75核心</x:v>
      </x:c>
      <x:c r="J74" s="145" t="n">
        <x:v>30</x:v>
      </x:c>
      <x:c r="K74" s="145" t="n">
        <x:v>38</x:v>
      </x:c>
      <x:c r="L74" s="145" t="n">
        <x:v>54</x:v>
      </x:c>
      <x:c r="M74" s="145" t="n">
        <x:v>8</x:v>
      </x:c>
      <x:c r="N74" s="145" t="n">
        <x:v>24</x:v>
      </x:c>
      <x:c r="O74" s="145" t="n">
        <x:v>16</x:v>
      </x:c>
      <x:c r="P74" s="177" t="n">
        <x:v>30</x:v>
      </x:c>
      <x:c r="Q74" s="151" t="str">
        <x:v>https://leetcode.com/problems/find-median-from-data-stream/</x:v>
      </x:c>
      <x:c r="R74" s="112" t="str">
        <x:v>https://www.techinterviewhandbook.org/grind75/</x:v>
      </x:c>
    </x:row>
    <x:row r="75" ht="32" customHeight="1">
      <x:c r="A75" s="99" t="n">
        <x:v>71</x:v>
      </x:c>
      <x:c r="B75" s="145" t="n">
        <x:v>127</x:v>
      </x:c>
      <x:c r="C75" s="151" t="str">
        <x:v>单词接龙</x:v>
      </x:c>
      <x:c r="D75" s="151" t="str">
        <x:v>Word Ladder</x:v>
      </x:c>
      <x:c r="E75" s="145" t="str">
        <x:v>困难</x:v>
      </x:c>
      <x:c r="F75" s="145" t="str">
        <x:v>图与并查集</x:v>
      </x:c>
      <x:c r="G75" s="165" t="str">
        <x:v>图论</x:v>
      </x:c>
      <x:c r="H75" s="165" t="str">
        <x:v>广搜最短路</x:v>
      </x:c>
      <x:c r="I75" s="165" t="str">
        <x:v>Grind 75核心</x:v>
      </x:c>
      <x:c r="J75" s="145" t="n">
        <x:v>31</x:v>
      </x:c>
      <x:c r="K75" s="145" t="n">
        <x:v>39</x:v>
      </x:c>
      <x:c r="L75" s="145" t="n">
        <x:v>55</x:v>
      </x:c>
      <x:c r="M75" s="145" t="n">
        <x:v>8</x:v>
      </x:c>
      <x:c r="N75" s="145" t="n">
        <x:v>24</x:v>
      </x:c>
      <x:c r="O75" s="145" t="n">
        <x:v>16</x:v>
      </x:c>
      <x:c r="P75" s="177" t="n">
        <x:v>45</x:v>
      </x:c>
      <x:c r="Q75" s="151" t="str">
        <x:v>https://leetcode.com/problems/word-ladder/</x:v>
      </x:c>
      <x:c r="R75" s="112" t="str">
        <x:v>https://www.techinterviewhandbook.org/grind75/</x:v>
      </x:c>
    </x:row>
    <x:row r="76" ht="32" customHeight="1">
      <x:c r="A76" s="99" t="n">
        <x:v>72</x:v>
      </x:c>
      <x:c r="B76" s="145" t="n">
        <x:v>224</x:v>
      </x:c>
      <x:c r="C76" s="151" t="str">
        <x:v>基本计算器</x:v>
      </x:c>
      <x:c r="D76" s="151" t="str">
        <x:v>Basic Calculator</x:v>
      </x:c>
      <x:c r="E76" s="145" t="str">
        <x:v>困难</x:v>
      </x:c>
      <x:c r="F76" s="145" t="str">
        <x:v>栈与队列</x:v>
      </x:c>
      <x:c r="G76" s="165" t="str">
        <x:v>栈与队列</x:v>
      </x:c>
      <x:c r="H76" s="165" t="str">
        <x:v>表达式解析</x:v>
      </x:c>
      <x:c r="I76" s="165" t="str">
        <x:v>Grind 75核心</x:v>
      </x:c>
      <x:c r="J76" s="145" t="n">
        <x:v>31</x:v>
      </x:c>
      <x:c r="K76" s="145" t="n">
        <x:v>39</x:v>
      </x:c>
      <x:c r="L76" s="145" t="n">
        <x:v>55</x:v>
      </x:c>
      <x:c r="M76" s="145" t="n">
        <x:v>8</x:v>
      </x:c>
      <x:c r="N76" s="145" t="n">
        <x:v>24</x:v>
      </x:c>
      <x:c r="O76" s="145" t="n">
        <x:v>16</x:v>
      </x:c>
      <x:c r="P76" s="177" t="n">
        <x:v>40</x:v>
      </x:c>
      <x:c r="Q76" s="151" t="str">
        <x:v>https://leetcode.com/problems/basic-calculator/</x:v>
      </x:c>
      <x:c r="R76" s="112" t="str">
        <x:v>https://www.techinterviewhandbook.org/grind75/</x:v>
      </x:c>
    </x:row>
    <x:row r="77" ht="32" customHeight="1">
      <x:c r="A77" s="99" t="n">
        <x:v>73</x:v>
      </x:c>
      <x:c r="B77" s="145" t="n">
        <x:v>1235</x:v>
      </x:c>
      <x:c r="C77" s="151" t="str">
        <x:v>规划兼职工作</x:v>
      </x:c>
      <x:c r="D77" s="151" t="str">
        <x:v>Maximum Profit in Job Scheduling</x:v>
      </x:c>
      <x:c r="E77" s="145" t="str">
        <x:v>困难</x:v>
      </x:c>
      <x:c r="F77" s="145" t="str">
        <x:v>动态规划</x:v>
      </x:c>
      <x:c r="G77" s="165" t="str">
        <x:v>动态规划与二分</x:v>
      </x:c>
      <x:c r="H77" s="165" t="str">
        <x:v>加权区间调度</x:v>
      </x:c>
      <x:c r="I77" s="165" t="str">
        <x:v>Grind 75核心</x:v>
      </x:c>
      <x:c r="J77" s="145" t="n">
        <x:v>32</x:v>
      </x:c>
      <x:c r="K77" s="145" t="n">
        <x:v>40</x:v>
      </x:c>
      <x:c r="L77" s="145" t="n">
        <x:v>55</x:v>
      </x:c>
      <x:c r="M77" s="145" t="n">
        <x:v>8</x:v>
      </x:c>
      <x:c r="N77" s="145" t="n">
        <x:v>23</x:v>
      </x:c>
      <x:c r="O77" s="145" t="n">
        <x:v>15</x:v>
      </x:c>
      <x:c r="P77" s="177" t="n">
        <x:v>45</x:v>
      </x:c>
      <x:c r="Q77" s="151" t="str">
        <x:v>https://leetcode.com/problems/maximum-profit-in-job-scheduling/</x:v>
      </x:c>
      <x:c r="R77" s="112" t="str">
        <x:v>https://www.techinterviewhandbook.org/grind75/</x:v>
      </x:c>
    </x:row>
    <x:row r="78" ht="32" customHeight="1">
      <x:c r="A78" s="99" t="n">
        <x:v>74</x:v>
      </x:c>
      <x:c r="B78" s="145" t="n">
        <x:v>23</x:v>
      </x:c>
      <x:c r="C78" s="151" t="str">
        <x:v>合并K个升序链表</x:v>
      </x:c>
      <x:c r="D78" s="151" t="str">
        <x:v>Merge k Sorted Lists</x:v>
      </x:c>
      <x:c r="E78" s="145" t="str">
        <x:v>困难</x:v>
      </x:c>
      <x:c r="F78" s="145" t="str">
        <x:v>堆与优先队列</x:v>
      </x:c>
      <x:c r="G78" s="165" t="str">
        <x:v>堆与链表</x:v>
      </x:c>
      <x:c r="H78" s="165" t="str">
        <x:v>多路归并</x:v>
      </x:c>
      <x:c r="I78" s="165" t="str">
        <x:v>Grind 75核心</x:v>
      </x:c>
      <x:c r="J78" s="145" t="n">
        <x:v>32</x:v>
      </x:c>
      <x:c r="K78" s="145" t="n">
        <x:v>40</x:v>
      </x:c>
      <x:c r="L78" s="145" t="n">
        <x:v>55</x:v>
      </x:c>
      <x:c r="M78" s="145" t="n">
        <x:v>8</x:v>
      </x:c>
      <x:c r="N78" s="145" t="n">
        <x:v>23</x:v>
      </x:c>
      <x:c r="O78" s="145" t="n">
        <x:v>15</x:v>
      </x:c>
      <x:c r="P78" s="177" t="n">
        <x:v>30</x:v>
      </x:c>
      <x:c r="Q78" s="151" t="str">
        <x:v>https://leetcode.com/problems/merge-k-sorted-lists/</x:v>
      </x:c>
      <x:c r="R78" s="112" t="str">
        <x:v>https://www.techinterviewhandbook.org/grind75/</x:v>
      </x:c>
    </x:row>
    <x:row r="79" ht="32" customHeight="1">
      <x:c r="A79" s="99" t="n">
        <x:v>75</x:v>
      </x:c>
      <x:c r="B79" s="145" t="n">
        <x:v>84</x:v>
      </x:c>
      <x:c r="C79" s="151" t="str">
        <x:v>柱状图中最大的矩形</x:v>
      </x:c>
      <x:c r="D79" s="151" t="str">
        <x:v>Largest Rectangle in Histogram</x:v>
      </x:c>
      <x:c r="E79" s="145" t="str">
        <x:v>困难</x:v>
      </x:c>
      <x:c r="F79" s="145" t="str">
        <x:v>单调栈</x:v>
      </x:c>
      <x:c r="G79" s="165" t="str">
        <x:v>单调栈</x:v>
      </x:c>
      <x:c r="H79" s="165" t="str">
        <x:v>寻找左右第一个更小值</x:v>
      </x:c>
      <x:c r="I79" s="165" t="str">
        <x:v>Grind 75核心</x:v>
      </x:c>
      <x:c r="J79" s="145" t="n">
        <x:v>33</x:v>
      </x:c>
      <x:c r="K79" s="145" t="n">
        <x:v>41</x:v>
      </x:c>
      <x:c r="L79" s="145" t="n">
        <x:v>55</x:v>
      </x:c>
      <x:c r="M79" s="145" t="n">
        <x:v>8</x:v>
      </x:c>
      <x:c r="N79" s="145" t="n">
        <x:v>22</x:v>
      </x:c>
      <x:c r="O79" s="145" t="n">
        <x:v>14</x:v>
      </x:c>
      <x:c r="P79" s="177" t="n">
        <x:v>35</x:v>
      </x:c>
      <x:c r="Q79" s="151" t="str">
        <x:v>https://leetcode.com/problems/largest-rectangle-in-histogram/</x:v>
      </x:c>
      <x:c r="R79" s="112" t="str">
        <x:v>https://www.techinterviewhandbook.org/grind75/</x:v>
      </x:c>
    </x:row>
    <x:row r="80" ht="32" customHeight="1">
      <x:c r="A80" s="99" t="n">
        <x:v>76</x:v>
      </x:c>
      <x:c r="B80" s="145" t="n">
        <x:v>27</x:v>
      </x:c>
      <x:c r="C80" s="151" t="str">
        <x:v>移除元素</x:v>
      </x:c>
      <x:c r="D80" s="151" t="str">
        <x:v>Remove Element</x:v>
      </x:c>
      <x:c r="E80" s="145" t="str">
        <x:v>简单</x:v>
      </x:c>
      <x:c r="F80" s="145" t="str">
        <x:v>双指针</x:v>
      </x:c>
      <x:c r="G80" s="165" t="str">
        <x:v>双指针</x:v>
      </x:c>
      <x:c r="H80" s="165" t="str">
        <x:v>快慢指针原地覆盖</x:v>
      </x:c>
      <x:c r="I80" s="165" t="str">
        <x:v>代码随想录补充</x:v>
      </x:c>
      <x:c r="J80" s="145" t="n">
        <x:v>33</x:v>
      </x:c>
      <x:c r="K80" s="145" t="n">
        <x:v>42</x:v>
      </x:c>
      <x:c r="L80" s="145" t="n">
        <x:v>56</x:v>
      </x:c>
      <x:c r="M80" s="145" t="n">
        <x:v>9</x:v>
      </x:c>
      <x:c r="N80" s="145" t="n">
        <x:v>23</x:v>
      </x:c>
      <x:c r="O80" s="145" t="n">
        <x:v>14</x:v>
      </x:c>
      <x:c r="P80" s="177" t="n">
        <x:v>15</x:v>
      </x:c>
      <x:c r="Q80" s="151" t="str">
        <x:v>https://leetcode.com/problems/remove-element/</x:v>
      </x:c>
      <x:c r="R80" s="112" t="str">
        <x:v>https://programmercarl.com/qita/12.list.html</x:v>
      </x:c>
    </x:row>
    <x:row r="81" ht="32" customHeight="1">
      <x:c r="A81" s="99" t="n">
        <x:v>77</x:v>
      </x:c>
      <x:c r="B81" s="145" t="n">
        <x:v>209</x:v>
      </x:c>
      <x:c r="C81" s="151" t="str">
        <x:v>长度最小的子数组</x:v>
      </x:c>
      <x:c r="D81" s="151" t="str">
        <x:v>Minimum Size Subarray Sum</x:v>
      </x:c>
      <x:c r="E81" s="145" t="str">
        <x:v>中等</x:v>
      </x:c>
      <x:c r="F81" s="145" t="str">
        <x:v>滑动窗口与单调队列</x:v>
      </x:c>
      <x:c r="G81" s="165" t="str">
        <x:v>滑动窗口</x:v>
      </x:c>
      <x:c r="H81" s="165" t="str">
        <x:v>最短满足窗口</x:v>
      </x:c>
      <x:c r="I81" s="165" t="str">
        <x:v>代码随想录补充</x:v>
      </x:c>
      <x:c r="J81" s="145" t="n">
        <x:v>34</x:v>
      </x:c>
      <x:c r="K81" s="145" t="n">
        <x:v>43</x:v>
      </x:c>
      <x:c r="L81" s="145" t="n">
        <x:v>56</x:v>
      </x:c>
      <x:c r="M81" s="145" t="n">
        <x:v>9</x:v>
      </x:c>
      <x:c r="N81" s="145" t="n">
        <x:v>22</x:v>
      </x:c>
      <x:c r="O81" s="145" t="n">
        <x:v>13</x:v>
      </x:c>
      <x:c r="P81" s="177" t="n">
        <x:v>25</x:v>
      </x:c>
      <x:c r="Q81" s="151" t="str">
        <x:v>https://leetcode.com/problems/minimum-size-subarray-sum/</x:v>
      </x:c>
      <x:c r="R81" s="112" t="str">
        <x:v>https://programmercarl.com/qita/12.list.html</x:v>
      </x:c>
    </x:row>
    <x:row r="82" ht="32" customHeight="1">
      <x:c r="A82" s="99" t="n">
        <x:v>78</x:v>
      </x:c>
      <x:c r="B82" s="145" t="n">
        <x:v>19</x:v>
      </x:c>
      <x:c r="C82" s="151" t="str">
        <x:v>删除链表的倒数第N个结点</x:v>
      </x:c>
      <x:c r="D82" s="151" t="str">
        <x:v>Remove Nth Node From End of List</x:v>
      </x:c>
      <x:c r="E82" s="145" t="str">
        <x:v>中等</x:v>
      </x:c>
      <x:c r="F82" s="145" t="str">
        <x:v>链表</x:v>
      </x:c>
      <x:c r="G82" s="165" t="str">
        <x:v>链表</x:v>
      </x:c>
      <x:c r="H82" s="165" t="str">
        <x:v>快慢指针与虚拟头结点</x:v>
      </x:c>
      <x:c r="I82" s="165" t="str">
        <x:v>代码随想录补充</x:v>
      </x:c>
      <x:c r="J82" s="145" t="n">
        <x:v>34</x:v>
      </x:c>
      <x:c r="K82" s="145" t="n">
        <x:v>43</x:v>
      </x:c>
      <x:c r="L82" s="145" t="n">
        <x:v>56</x:v>
      </x:c>
      <x:c r="M82" s="145" t="n">
        <x:v>9</x:v>
      </x:c>
      <x:c r="N82" s="145" t="n">
        <x:v>22</x:v>
      </x:c>
      <x:c r="O82" s="145" t="n">
        <x:v>13</x:v>
      </x:c>
      <x:c r="P82" s="177" t="n">
        <x:v>25</x:v>
      </x:c>
      <x:c r="Q82" s="151" t="str">
        <x:v>https://leetcode.com/problems/remove-nth-node-from-end-of-list/</x:v>
      </x:c>
      <x:c r="R82" s="112" t="str">
        <x:v>https://programmercarl.com/qita/12.list.html</x:v>
      </x:c>
    </x:row>
    <x:row r="83" ht="32" customHeight="1">
      <x:c r="A83" s="99" t="n">
        <x:v>79</x:v>
      </x:c>
      <x:c r="B83" s="145" t="n">
        <x:v>24</x:v>
      </x:c>
      <x:c r="C83" s="151" t="str">
        <x:v>两两交换链表中的节点</x:v>
      </x:c>
      <x:c r="D83" s="151" t="str">
        <x:v>Swap Nodes in Pairs</x:v>
      </x:c>
      <x:c r="E83" s="145" t="str">
        <x:v>中等</x:v>
      </x:c>
      <x:c r="F83" s="145" t="str">
        <x:v>链表</x:v>
      </x:c>
      <x:c r="G83" s="165" t="str">
        <x:v>链表</x:v>
      </x:c>
      <x:c r="H83" s="165" t="str">
        <x:v>局部指针重连</x:v>
      </x:c>
      <x:c r="I83" s="165" t="str">
        <x:v>代码随想录补充</x:v>
      </x:c>
      <x:c r="J83" s="145" t="n">
        <x:v>35</x:v>
      </x:c>
      <x:c r="K83" s="145" t="n">
        <x:v>44</x:v>
      </x:c>
      <x:c r="L83" s="145" t="n">
        <x:v>57</x:v>
      </x:c>
      <x:c r="M83" s="145" t="n">
        <x:v>9</x:v>
      </x:c>
      <x:c r="N83" s="145" t="n">
        <x:v>22</x:v>
      </x:c>
      <x:c r="O83" s="145" t="n">
        <x:v>13</x:v>
      </x:c>
      <x:c r="P83" s="177" t="n">
        <x:v>25</x:v>
      </x:c>
      <x:c r="Q83" s="151" t="str">
        <x:v>https://leetcode.com/problems/swap-nodes-in-pairs/</x:v>
      </x:c>
      <x:c r="R83" s="112" t="str">
        <x:v>https://programmercarl.com/qita/12.list.html</x:v>
      </x:c>
    </x:row>
    <x:row r="84" ht="32" customHeight="1">
      <x:c r="A84" s="99" t="n">
        <x:v>80</x:v>
      </x:c>
      <x:c r="B84" s="145" t="n">
        <x:v>142</x:v>
      </x:c>
      <x:c r="C84" s="151" t="str">
        <x:v>环形链表II</x:v>
      </x:c>
      <x:c r="D84" s="151" t="str">
        <x:v>Linked List Cycle II</x:v>
      </x:c>
      <x:c r="E84" s="145" t="str">
        <x:v>中等</x:v>
      </x:c>
      <x:c r="F84" s="145" t="str">
        <x:v>链表</x:v>
      </x:c>
      <x:c r="G84" s="165" t="str">
        <x:v>链表</x:v>
      </x:c>
      <x:c r="H84" s="165" t="str">
        <x:v>Floyd环入口推导</x:v>
      </x:c>
      <x:c r="I84" s="165" t="str">
        <x:v>代码随想录补充</x:v>
      </x:c>
      <x:c r="J84" s="145" t="n">
        <x:v>35</x:v>
      </x:c>
      <x:c r="K84" s="145" t="n">
        <x:v>45</x:v>
      </x:c>
      <x:c r="L84" s="145" t="n">
        <x:v>57</x:v>
      </x:c>
      <x:c r="M84" s="145" t="n">
        <x:v>10</x:v>
      </x:c>
      <x:c r="N84" s="145" t="n">
        <x:v>22</x:v>
      </x:c>
      <x:c r="O84" s="145" t="n">
        <x:v>12</x:v>
      </x:c>
      <x:c r="P84" s="177" t="n">
        <x:v>25</x:v>
      </x:c>
      <x:c r="Q84" s="151" t="str">
        <x:v>https://leetcode.com/problems/linked-list-cycle-ii/</x:v>
      </x:c>
      <x:c r="R84" s="112" t="str">
        <x:v>https://programmercarl.com/qita/12.list.html</x:v>
      </x:c>
    </x:row>
    <x:row r="85" ht="32" customHeight="1">
      <x:c r="A85" s="99" t="n">
        <x:v>81</x:v>
      </x:c>
      <x:c r="B85" s="145" t="n">
        <x:v>560</x:v>
      </x:c>
      <x:c r="C85" s="151" t="str">
        <x:v>和为K的子数组</x:v>
      </x:c>
      <x:c r="D85" s="151" t="str">
        <x:v>Subarray Sum Equals K</x:v>
      </x:c>
      <x:c r="E85" s="145" t="str">
        <x:v>中等</x:v>
      </x:c>
      <x:c r="F85" s="145" t="str">
        <x:v>数组与哈希</x:v>
      </x:c>
      <x:c r="G85" s="165" t="str">
        <x:v>前缀和与哈希</x:v>
      </x:c>
      <x:c r="H85" s="165" t="str">
        <x:v>前缀和频次计数</x:v>
      </x:c>
      <x:c r="I85" s="165" t="str">
        <x:v>Grind 169扩展</x:v>
      </x:c>
      <x:c r="J85" s="145" t="n">
        <x:v>36</x:v>
      </x:c>
      <x:c r="K85" s="145" t="n">
        <x:v>45</x:v>
      </x:c>
      <x:c r="L85" s="145" t="n">
        <x:v>56</x:v>
      </x:c>
      <x:c r="M85" s="145" t="n">
        <x:v>9</x:v>
      </x:c>
      <x:c r="N85" s="145" t="n">
        <x:v>20</x:v>
      </x:c>
      <x:c r="O85" s="145" t="n">
        <x:v>11</x:v>
      </x:c>
      <x:c r="P85" s="177" t="n">
        <x:v>35</x:v>
      </x:c>
      <x:c r="Q85" s="151" t="str">
        <x:v>https://leetcode.com/problems/subarray-sum-equals-k/</x:v>
      </x:c>
      <x:c r="R85" s="112" t="str">
        <x:v>https://www.techinterviewhandbook.org/grind75/?mode=all</x:v>
      </x:c>
    </x:row>
    <x:row r="86" ht="32" customHeight="1">
      <x:c r="A86" s="99" t="n">
        <x:v>82</x:v>
      </x:c>
      <x:c r="B86" s="145" t="n">
        <x:v>239</x:v>
      </x:c>
      <x:c r="C86" s="151" t="str">
        <x:v>滑动窗口最大值</x:v>
      </x:c>
      <x:c r="D86" s="151" t="str">
        <x:v>Sliding Window Maximum</x:v>
      </x:c>
      <x:c r="E86" s="145" t="str">
        <x:v>困难</x:v>
      </x:c>
      <x:c r="F86" s="145" t="str">
        <x:v>滑动窗口与单调队列</x:v>
      </x:c>
      <x:c r="G86" s="165" t="str">
        <x:v>单调队列</x:v>
      </x:c>
      <x:c r="H86" s="165" t="str">
        <x:v>维护单调双端队列</x:v>
      </x:c>
      <x:c r="I86" s="165" t="str">
        <x:v>代码随想录补充</x:v>
      </x:c>
      <x:c r="J86" s="145" t="n">
        <x:v>36</x:v>
      </x:c>
      <x:c r="K86" s="145" t="n">
        <x:v>46</x:v>
      </x:c>
      <x:c r="L86" s="145" t="n">
        <x:v>56</x:v>
      </x:c>
      <x:c r="M86" s="145" t="n">
        <x:v>10</x:v>
      </x:c>
      <x:c r="N86" s="145" t="n">
        <x:v>20</x:v>
      </x:c>
      <x:c r="O86" s="145" t="n">
        <x:v>10</x:v>
      </x:c>
      <x:c r="P86" s="177" t="n">
        <x:v>35</x:v>
      </x:c>
      <x:c r="Q86" s="151" t="str">
        <x:v>https://leetcode.com/problems/sliding-window-maximum/</x:v>
      </x:c>
      <x:c r="R86" s="112" t="str">
        <x:v>https://programmercarl.com/qita/12.list.html</x:v>
      </x:c>
    </x:row>
    <x:row r="87" ht="32" customHeight="1">
      <x:c r="A87" s="99" t="n">
        <x:v>83</x:v>
      </x:c>
      <x:c r="B87" s="145" t="n">
        <x:v>347</x:v>
      </x:c>
      <x:c r="C87" s="151" t="str">
        <x:v>前K个高频元素</x:v>
      </x:c>
      <x:c r="D87" s="151" t="str">
        <x:v>Top K Frequent Elements</x:v>
      </x:c>
      <x:c r="E87" s="145" t="str">
        <x:v>中等</x:v>
      </x:c>
      <x:c r="F87" s="145" t="str">
        <x:v>堆与优先队列</x:v>
      </x:c>
      <x:c r="G87" s="165" t="str">
        <x:v>堆与优先队列</x:v>
      </x:c>
      <x:c r="H87" s="165" t="str">
        <x:v>频次统计与Top K</x:v>
      </x:c>
      <x:c r="I87" s="165" t="str">
        <x:v>代码随想录补充</x:v>
      </x:c>
      <x:c r="J87" s="145" t="n">
        <x:v>37</x:v>
      </x:c>
      <x:c r="K87" s="145" t="n">
        <x:v>46</x:v>
      </x:c>
      <x:c r="L87" s="145" t="n">
        <x:v>57</x:v>
      </x:c>
      <x:c r="M87" s="145" t="n">
        <x:v>9</x:v>
      </x:c>
      <x:c r="N87" s="145" t="n">
        <x:v>20</x:v>
      </x:c>
      <x:c r="O87" s="145" t="n">
        <x:v>11</x:v>
      </x:c>
      <x:c r="P87" s="177" t="n">
        <x:v>30</x:v>
      </x:c>
      <x:c r="Q87" s="151" t="str">
        <x:v>https://leetcode.com/problems/top-k-frequent-elements/</x:v>
      </x:c>
      <x:c r="R87" s="112" t="str">
        <x:v>https://programmercarl.com/qita/12.list.html</x:v>
      </x:c>
    </x:row>
    <x:row r="88" ht="32" customHeight="1">
      <x:c r="A88" s="99" t="n">
        <x:v>84</x:v>
      </x:c>
      <x:c r="B88" s="145" t="n">
        <x:v>112</x:v>
      </x:c>
      <x:c r="C88" s="151" t="str">
        <x:v>路径总和</x:v>
      </x:c>
      <x:c r="D88" s="151" t="str">
        <x:v>Path Sum</x:v>
      </x:c>
      <x:c r="E88" s="145" t="str">
        <x:v>简单</x:v>
      </x:c>
      <x:c r="F88" s="145" t="str">
        <x:v>树与递归</x:v>
      </x:c>
      <x:c r="G88" s="165" t="str">
        <x:v>二叉树</x:v>
      </x:c>
      <x:c r="H88" s="165" t="str">
        <x:v>根到叶路径递归</x:v>
      </x:c>
      <x:c r="I88" s="165" t="str">
        <x:v>代码随想录补充</x:v>
      </x:c>
      <x:c r="J88" s="145" t="n">
        <x:v>37</x:v>
      </x:c>
      <x:c r="K88" s="145" t="n">
        <x:v>47</x:v>
      </x:c>
      <x:c r="L88" s="145" t="n">
        <x:v>57</x:v>
      </x:c>
      <x:c r="M88" s="145" t="n">
        <x:v>10</x:v>
      </x:c>
      <x:c r="N88" s="145" t="n">
        <x:v>20</x:v>
      </x:c>
      <x:c r="O88" s="145" t="n">
        <x:v>10</x:v>
      </x:c>
      <x:c r="P88" s="177" t="n">
        <x:v>20</x:v>
      </x:c>
      <x:c r="Q88" s="151" t="str">
        <x:v>https://leetcode.com/problems/path-sum/</x:v>
      </x:c>
      <x:c r="R88" s="112" t="str">
        <x:v>https://programmercarl.com/qita/12.list.html</x:v>
      </x:c>
    </x:row>
    <x:row r="89" ht="32" customHeight="1">
      <x:c r="A89" s="99" t="n">
        <x:v>85</x:v>
      </x:c>
      <x:c r="B89" s="145" t="n">
        <x:v>77</x:v>
      </x:c>
      <x:c r="C89" s="151" t="str">
        <x:v>组合</x:v>
      </x:c>
      <x:c r="D89" s="151" t="str">
        <x:v>Combinations</x:v>
      </x:c>
      <x:c r="E89" s="145" t="str">
        <x:v>中等</x:v>
      </x:c>
      <x:c r="F89" s="145" t="str">
        <x:v>回溯</x:v>
      </x:c>
      <x:c r="G89" s="165" t="str">
        <x:v>回溯</x:v>
      </x:c>
      <x:c r="H89" s="165" t="str">
        <x:v>组合搜索与剪枝</x:v>
      </x:c>
      <x:c r="I89" s="165" t="str">
        <x:v>代码随想录补充</x:v>
      </x:c>
      <x:c r="J89" s="145" t="n">
        <x:v>38</x:v>
      </x:c>
      <x:c r="K89" s="145" t="n">
        <x:v>47</x:v>
      </x:c>
      <x:c r="L89" s="145" t="n">
        <x:v>57</x:v>
      </x:c>
      <x:c r="M89" s="145" t="n">
        <x:v>9</x:v>
      </x:c>
      <x:c r="N89" s="145" t="n">
        <x:v>19</x:v>
      </x:c>
      <x:c r="O89" s="145" t="n">
        <x:v>10</x:v>
      </x:c>
      <x:c r="P89" s="177" t="n">
        <x:v>25</x:v>
      </x:c>
      <x:c r="Q89" s="151" t="str">
        <x:v>https://leetcode.com/problems/combinations/</x:v>
      </x:c>
      <x:c r="R89" s="112" t="str">
        <x:v>https://programmercarl.com/qita/12.list.html</x:v>
      </x:c>
    </x:row>
    <x:row r="90" ht="32" customHeight="1">
      <x:c r="A90" s="99" t="n">
        <x:v>86</x:v>
      </x:c>
      <x:c r="B90" s="145" t="n">
        <x:v>40</x:v>
      </x:c>
      <x:c r="C90" s="151" t="str">
        <x:v>组合总和II</x:v>
      </x:c>
      <x:c r="D90" s="151" t="str">
        <x:v>Combination Sum II</x:v>
      </x:c>
      <x:c r="E90" s="145" t="str">
        <x:v>中等</x:v>
      </x:c>
      <x:c r="F90" s="145" t="str">
        <x:v>回溯</x:v>
      </x:c>
      <x:c r="G90" s="165" t="str">
        <x:v>回溯</x:v>
      </x:c>
      <x:c r="H90" s="165" t="str">
        <x:v>树层去重</x:v>
      </x:c>
      <x:c r="I90" s="165" t="str">
        <x:v>代码随想录补充</x:v>
      </x:c>
      <x:c r="J90" s="145" t="n">
        <x:v>38</x:v>
      </x:c>
      <x:c r="K90" s="145" t="n">
        <x:v>48</x:v>
      </x:c>
      <x:c r="L90" s="145" t="n">
        <x:v>58</x:v>
      </x:c>
      <x:c r="M90" s="145" t="n">
        <x:v>10</x:v>
      </x:c>
      <x:c r="N90" s="145" t="n">
        <x:v>20</x:v>
      </x:c>
      <x:c r="O90" s="145" t="n">
        <x:v>10</x:v>
      </x:c>
      <x:c r="P90" s="177" t="n">
        <x:v>30</x:v>
      </x:c>
      <x:c r="Q90" s="151" t="str">
        <x:v>https://leetcode.com/problems/combination-sum-ii/</x:v>
      </x:c>
      <x:c r="R90" s="112" t="str">
        <x:v>https://programmercarl.com/qita/12.list.html</x:v>
      </x:c>
    </x:row>
    <x:row r="91" ht="32" customHeight="1">
      <x:c r="A91" s="99" t="n">
        <x:v>87</x:v>
      </x:c>
      <x:c r="B91" s="145" t="n">
        <x:v>131</x:v>
      </x:c>
      <x:c r="C91" s="151" t="str">
        <x:v>分割回文串</x:v>
      </x:c>
      <x:c r="D91" s="151" t="str">
        <x:v>Palindrome Partitioning</x:v>
      </x:c>
      <x:c r="E91" s="145" t="str">
        <x:v>中等</x:v>
      </x:c>
      <x:c r="F91" s="145" t="str">
        <x:v>回溯</x:v>
      </x:c>
      <x:c r="G91" s="165" t="str">
        <x:v>回溯</x:v>
      </x:c>
      <x:c r="H91" s="165" t="str">
        <x:v>分割型回溯</x:v>
      </x:c>
      <x:c r="I91" s="165" t="str">
        <x:v>代码随想录补充</x:v>
      </x:c>
      <x:c r="J91" s="145" t="n">
        <x:v>39</x:v>
      </x:c>
      <x:c r="K91" s="145" t="n">
        <x:v>49</x:v>
      </x:c>
      <x:c r="L91" s="145" t="n">
        <x:v>58</x:v>
      </x:c>
      <x:c r="M91" s="145" t="n">
        <x:v>10</x:v>
      </x:c>
      <x:c r="N91" s="145" t="n">
        <x:v>19</x:v>
      </x:c>
      <x:c r="O91" s="145" t="n">
        <x:v>9</x:v>
      </x:c>
      <x:c r="P91" s="177" t="n">
        <x:v>30</x:v>
      </x:c>
      <x:c r="Q91" s="151" t="str">
        <x:v>https://leetcode.com/problems/palindrome-partitioning/</x:v>
      </x:c>
      <x:c r="R91" s="112" t="str">
        <x:v>https://programmercarl.com/qita/12.list.html</x:v>
      </x:c>
    </x:row>
    <x:row r="92" ht="32" customHeight="1">
      <x:c r="A92" s="99" t="n">
        <x:v>88</x:v>
      </x:c>
      <x:c r="B92" s="145" t="n">
        <x:v>47</x:v>
      </x:c>
      <x:c r="C92" s="151" t="str">
        <x:v>全排列II</x:v>
      </x:c>
      <x:c r="D92" s="151" t="str">
        <x:v>Permutations II</x:v>
      </x:c>
      <x:c r="E92" s="145" t="str">
        <x:v>中等</x:v>
      </x:c>
      <x:c r="F92" s="145" t="str">
        <x:v>回溯</x:v>
      </x:c>
      <x:c r="G92" s="165" t="str">
        <x:v>回溯</x:v>
      </x:c>
      <x:c r="H92" s="165" t="str">
        <x:v>排列去重</x:v>
      </x:c>
      <x:c r="I92" s="165" t="str">
        <x:v>代码随想录补充</x:v>
      </x:c>
      <x:c r="J92" s="145" t="n">
        <x:v>39</x:v>
      </x:c>
      <x:c r="K92" s="145" t="n">
        <x:v>49</x:v>
      </x:c>
      <x:c r="L92" s="145" t="n">
        <x:v>59</x:v>
      </x:c>
      <x:c r="M92" s="145" t="n">
        <x:v>10</x:v>
      </x:c>
      <x:c r="N92" s="145" t="n">
        <x:v>20</x:v>
      </x:c>
      <x:c r="O92" s="145" t="n">
        <x:v>10</x:v>
      </x:c>
      <x:c r="P92" s="177" t="n">
        <x:v>30</x:v>
      </x:c>
      <x:c r="Q92" s="151" t="str">
        <x:v>https://leetcode.com/problems/permutations-ii/</x:v>
      </x:c>
      <x:c r="R92" s="112" t="str">
        <x:v>https://programmercarl.com/qita/12.list.html</x:v>
      </x:c>
    </x:row>
    <x:row r="93" ht="32" customHeight="1">
      <x:c r="A93" s="99" t="n">
        <x:v>89</x:v>
      </x:c>
      <x:c r="B93" s="145" t="n">
        <x:v>55</x:v>
      </x:c>
      <x:c r="C93" s="151" t="str">
        <x:v>跳跃游戏</x:v>
      </x:c>
      <x:c r="D93" s="151" t="str">
        <x:v>Jump Game</x:v>
      </x:c>
      <x:c r="E93" s="145" t="str">
        <x:v>中等</x:v>
      </x:c>
      <x:c r="F93" s="145" t="str">
        <x:v>贪心与区间</x:v>
      </x:c>
      <x:c r="G93" s="165" t="str">
        <x:v>贪心</x:v>
      </x:c>
      <x:c r="H93" s="165" t="str">
        <x:v>维护最远覆盖范围</x:v>
      </x:c>
      <x:c r="I93" s="165" t="str">
        <x:v>代码随想录补充</x:v>
      </x:c>
      <x:c r="J93" s="145" t="n">
        <x:v>40</x:v>
      </x:c>
      <x:c r="K93" s="145" t="n">
        <x:v>48</x:v>
      </x:c>
      <x:c r="L93" s="145" t="n">
        <x:v>58</x:v>
      </x:c>
      <x:c r="M93" s="145" t="n">
        <x:v>8</x:v>
      </x:c>
      <x:c r="N93" s="145" t="n">
        <x:v>18</x:v>
      </x:c>
      <x:c r="O93" s="145" t="n">
        <x:v>10</x:v>
      </x:c>
      <x:c r="P93" s="177" t="n">
        <x:v>25</x:v>
      </x:c>
      <x:c r="Q93" s="151" t="str">
        <x:v>https://leetcode.com/problems/jump-game/</x:v>
      </x:c>
      <x:c r="R93" s="112" t="str">
        <x:v>https://programmercarl.com/qita/12.list.html</x:v>
      </x:c>
    </x:row>
    <x:row r="94" ht="32" customHeight="1">
      <x:c r="A94" s="99" t="n">
        <x:v>90</x:v>
      </x:c>
      <x:c r="B94" s="145" t="n">
        <x:v>435</x:v>
      </x:c>
      <x:c r="C94" s="151" t="str">
        <x:v>无重叠区间</x:v>
      </x:c>
      <x:c r="D94" s="151" t="str">
        <x:v>Non overlapping Intervals</x:v>
      </x:c>
      <x:c r="E94" s="145" t="str">
        <x:v>中等</x:v>
      </x:c>
      <x:c r="F94" s="145" t="str">
        <x:v>贪心与区间</x:v>
      </x:c>
      <x:c r="G94" s="165" t="str">
        <x:v>区间与贪心</x:v>
      </x:c>
      <x:c r="H94" s="165" t="str">
        <x:v>按结束点调度</x:v>
      </x:c>
      <x:c r="I94" s="165" t="str">
        <x:v>代码随想录补充</x:v>
      </x:c>
      <x:c r="J94" s="145" t="n">
        <x:v>40</x:v>
      </x:c>
      <x:c r="K94" s="145" t="n">
        <x:v>48</x:v>
      </x:c>
      <x:c r="L94" s="145" t="n">
        <x:v>58</x:v>
      </x:c>
      <x:c r="M94" s="145" t="n">
        <x:v>8</x:v>
      </x:c>
      <x:c r="N94" s="145" t="n">
        <x:v>18</x:v>
      </x:c>
      <x:c r="O94" s="145" t="n">
        <x:v>10</x:v>
      </x:c>
      <x:c r="P94" s="177" t="n">
        <x:v>30</x:v>
      </x:c>
      <x:c r="Q94" s="151" t="str">
        <x:v>https://leetcode.com/problems/non-overlapping-intervals/</x:v>
      </x:c>
      <x:c r="R94" s="112" t="str">
        <x:v>https://programmercarl.com/qita/12.list.html</x:v>
      </x:c>
    </x:row>
    <x:row r="95" ht="32" customHeight="1">
      <x:c r="A95" s="99" t="n">
        <x:v>91</x:v>
      </x:c>
      <x:c r="B95" s="145" t="n">
        <x:v>452</x:v>
      </x:c>
      <x:c r="C95" s="151" t="str">
        <x:v>用最少数量的箭引爆气球</x:v>
      </x:c>
      <x:c r="D95" s="151" t="str">
        <x:v>Minimum Number of Arrows to Burst Balloons</x:v>
      </x:c>
      <x:c r="E95" s="145" t="str">
        <x:v>中等</x:v>
      </x:c>
      <x:c r="F95" s="145" t="str">
        <x:v>贪心与区间</x:v>
      </x:c>
      <x:c r="G95" s="165" t="str">
        <x:v>区间与贪心</x:v>
      </x:c>
      <x:c r="H95" s="165" t="str">
        <x:v>区间交集</x:v>
      </x:c>
      <x:c r="I95" s="165" t="str">
        <x:v>代码随想录补充</x:v>
      </x:c>
      <x:c r="J95" s="145" t="n">
        <x:v>41</x:v>
      </x:c>
      <x:c r="K95" s="145" t="n">
        <x:v>49</x:v>
      </x:c>
      <x:c r="L95" s="145" t="n">
        <x:v>59</x:v>
      </x:c>
      <x:c r="M95" s="145" t="n">
        <x:v>8</x:v>
      </x:c>
      <x:c r="N95" s="145" t="n">
        <x:v>18</x:v>
      </x:c>
      <x:c r="O95" s="145" t="n">
        <x:v>10</x:v>
      </x:c>
      <x:c r="P95" s="177" t="n">
        <x:v>30</x:v>
      </x:c>
      <x:c r="Q95" s="151" t="str">
        <x:v>https://leetcode.com/problems/minimum-number-of-arrows-to-burst-balloons/</x:v>
      </x:c>
      <x:c r="R95" s="112" t="str">
        <x:v>https://programmercarl.com/qita/12.list.html</x:v>
      </x:c>
    </x:row>
    <x:row r="96" ht="32" customHeight="1">
      <x:c r="A96" s="99" t="n">
        <x:v>92</x:v>
      </x:c>
      <x:c r="B96" s="145" t="n">
        <x:v>198</x:v>
      </x:c>
      <x:c r="C96" s="151" t="str">
        <x:v>打家劫舍</x:v>
      </x:c>
      <x:c r="D96" s="151" t="str">
        <x:v>House Robber</x:v>
      </x:c>
      <x:c r="E96" s="145" t="str">
        <x:v>中等</x:v>
      </x:c>
      <x:c r="F96" s="145" t="str">
        <x:v>动态规划</x:v>
      </x:c>
      <x:c r="G96" s="165" t="str">
        <x:v>动态规划</x:v>
      </x:c>
      <x:c r="H96" s="165" t="str">
        <x:v>相邻约束一维状态</x:v>
      </x:c>
      <x:c r="I96" s="165" t="str">
        <x:v>代码随想录补充</x:v>
      </x:c>
      <x:c r="J96" s="145" t="n">
        <x:v>41</x:v>
      </x:c>
      <x:c r="K96" s="145" t="n">
        <x:v>49</x:v>
      </x:c>
      <x:c r="L96" s="145" t="n">
        <x:v>58</x:v>
      </x:c>
      <x:c r="M96" s="145" t="n">
        <x:v>8</x:v>
      </x:c>
      <x:c r="N96" s="145" t="n">
        <x:v>17</x:v>
      </x:c>
      <x:c r="O96" s="145" t="n">
        <x:v>9</x:v>
      </x:c>
      <x:c r="P96" s="177" t="n">
        <x:v>25</x:v>
      </x:c>
      <x:c r="Q96" s="151" t="str">
        <x:v>https://leetcode.com/problems/house-robber/</x:v>
      </x:c>
      <x:c r="R96" s="112" t="str">
        <x:v>https://programmercarl.com/qita/12.list.html</x:v>
      </x:c>
    </x:row>
    <x:row r="97" ht="32" customHeight="1">
      <x:c r="A97" s="99" t="n">
        <x:v>93</x:v>
      </x:c>
      <x:c r="B97" s="145" t="n">
        <x:v>300</x:v>
      </x:c>
      <x:c r="C97" s="151" t="str">
        <x:v>最长递增子序列</x:v>
      </x:c>
      <x:c r="D97" s="151" t="str">
        <x:v>Longest Increasing Subsequence</x:v>
      </x:c>
      <x:c r="E97" s="145" t="str">
        <x:v>中等</x:v>
      </x:c>
      <x:c r="F97" s="145" t="str">
        <x:v>动态规划</x:v>
      </x:c>
      <x:c r="G97" s="165" t="str">
        <x:v>动态规划</x:v>
      </x:c>
      <x:c r="H97" s="165" t="str">
        <x:v>序列状态或耐心排序</x:v>
      </x:c>
      <x:c r="I97" s="165" t="str">
        <x:v>代码随想录补充</x:v>
      </x:c>
      <x:c r="J97" s="145" t="n">
        <x:v>42</x:v>
      </x:c>
      <x:c r="K97" s="145" t="n">
        <x:v>50</x:v>
      </x:c>
      <x:c r="L97" s="145" t="n">
        <x:v>59</x:v>
      </x:c>
      <x:c r="M97" s="145" t="n">
        <x:v>8</x:v>
      </x:c>
      <x:c r="N97" s="145" t="n">
        <x:v>17</x:v>
      </x:c>
      <x:c r="O97" s="145" t="n">
        <x:v>9</x:v>
      </x:c>
      <x:c r="P97" s="177" t="n">
        <x:v>30</x:v>
      </x:c>
      <x:c r="Q97" s="151" t="str">
        <x:v>https://leetcode.com/problems/longest-increasing-subsequence/</x:v>
      </x:c>
      <x:c r="R97" s="112" t="str">
        <x:v>https://programmercarl.com/qita/12.list.html</x:v>
      </x:c>
    </x:row>
    <x:row r="98" ht="32" customHeight="1">
      <x:c r="A98" s="99" t="n">
        <x:v>94</x:v>
      </x:c>
      <x:c r="B98" s="145" t="n">
        <x:v>1143</x:v>
      </x:c>
      <x:c r="C98" s="151" t="str">
        <x:v>最长公共子序列</x:v>
      </x:c>
      <x:c r="D98" s="151" t="str">
        <x:v>Longest Common Subsequence</x:v>
      </x:c>
      <x:c r="E98" s="145" t="str">
        <x:v>中等</x:v>
      </x:c>
      <x:c r="F98" s="145" t="str">
        <x:v>动态规划</x:v>
      </x:c>
      <x:c r="G98" s="165" t="str">
        <x:v>动态规划</x:v>
      </x:c>
      <x:c r="H98" s="165" t="str">
        <x:v>双序列状态转移</x:v>
      </x:c>
      <x:c r="I98" s="165" t="str">
        <x:v>代码随想录补充</x:v>
      </x:c>
      <x:c r="J98" s="145" t="n">
        <x:v>42</x:v>
      </x:c>
      <x:c r="K98" s="145" t="n">
        <x:v>51</x:v>
      </x:c>
      <x:c r="L98" s="145" t="n">
        <x:v>59</x:v>
      </x:c>
      <x:c r="M98" s="145" t="n">
        <x:v>9</x:v>
      </x:c>
      <x:c r="N98" s="145" t="n">
        <x:v>17</x:v>
      </x:c>
      <x:c r="O98" s="145" t="n">
        <x:v>8</x:v>
      </x:c>
      <x:c r="P98" s="177" t="n">
        <x:v>30</x:v>
      </x:c>
      <x:c r="Q98" s="151" t="str">
        <x:v>https://leetcode.com/problems/longest-common-subsequence/</x:v>
      </x:c>
      <x:c r="R98" s="112" t="str">
        <x:v>https://programmercarl.com/qita/12.list.html</x:v>
      </x:c>
    </x:row>
    <x:row r="99" ht="32" customHeight="1">
      <x:c r="A99" s="99" t="n">
        <x:v>95</x:v>
      </x:c>
      <x:c r="B99" s="145" t="n">
        <x:v>72</x:v>
      </x:c>
      <x:c r="C99" s="151" t="str">
        <x:v>编辑距离</x:v>
      </x:c>
      <x:c r="D99" s="151" t="str">
        <x:v>Edit Distance</x:v>
      </x:c>
      <x:c r="E99" s="145" t="str">
        <x:v>中等</x:v>
      </x:c>
      <x:c r="F99" s="145" t="str">
        <x:v>动态规划</x:v>
      </x:c>
      <x:c r="G99" s="165" t="str">
        <x:v>动态规划</x:v>
      </x:c>
      <x:c r="H99" s="165" t="str">
        <x:v>增删改二维状态</x:v>
      </x:c>
      <x:c r="I99" s="165" t="str">
        <x:v>代码随想录补充</x:v>
      </x:c>
      <x:c r="J99" s="145" t="n">
        <x:v>43</x:v>
      </x:c>
      <x:c r="K99" s="145" t="n">
        <x:v>52</x:v>
      </x:c>
      <x:c r="L99" s="145" t="n">
        <x:v>60</x:v>
      </x:c>
      <x:c r="M99" s="145" t="n">
        <x:v>9</x:v>
      </x:c>
      <x:c r="N99" s="145" t="n">
        <x:v>17</x:v>
      </x:c>
      <x:c r="O99" s="145" t="n">
        <x:v>8</x:v>
      </x:c>
      <x:c r="P99" s="177" t="n">
        <x:v>35</x:v>
      </x:c>
      <x:c r="Q99" s="151" t="str">
        <x:v>https://leetcode.com/problems/edit-distance/</x:v>
      </x:c>
      <x:c r="R99" s="112" t="str">
        <x:v>https://programmercarl.com/qita/12.list.html</x:v>
      </x:c>
    </x:row>
    <x:row r="100" ht="32" customHeight="1">
      <x:c r="A100" s="99" t="n">
        <x:v>96</x:v>
      </x:c>
      <x:c r="B100" s="145" t="n">
        <x:v>739</x:v>
      </x:c>
      <x:c r="C100" s="151" t="str">
        <x:v>每日温度</x:v>
      </x:c>
      <x:c r="D100" s="151" t="str">
        <x:v>Daily Temperatures</x:v>
      </x:c>
      <x:c r="E100" s="145" t="str">
        <x:v>中等</x:v>
      </x:c>
      <x:c r="F100" s="145" t="str">
        <x:v>单调栈</x:v>
      </x:c>
      <x:c r="G100" s="165" t="str">
        <x:v>单调栈</x:v>
      </x:c>
      <x:c r="H100" s="165" t="str">
        <x:v>下一个更大元素</x:v>
      </x:c>
      <x:c r="I100" s="165" t="str">
        <x:v>代码随想录补充</x:v>
      </x:c>
      <x:c r="J100" s="145" t="n">
        <x:v>43</x:v>
      </x:c>
      <x:c r="K100" s="145" t="n">
        <x:v>50</x:v>
      </x:c>
      <x:c r="L100" s="145" t="n">
        <x:v>59</x:v>
      </x:c>
      <x:c r="M100" s="145" t="n">
        <x:v>7</x:v>
      </x:c>
      <x:c r="N100" s="145" t="n">
        <x:v>16</x:v>
      </x:c>
      <x:c r="O100" s="145" t="n">
        <x:v>9</x:v>
      </x:c>
      <x:c r="P100" s="177" t="n">
        <x:v>25</x:v>
      </x:c>
      <x:c r="Q100" s="151" t="str">
        <x:v>https://leetcode.com/problems/daily-temperatures/</x:v>
      </x:c>
      <x:c r="R100" s="112" t="str">
        <x:v>https://programmercarl.com/qita/12.list.html</x:v>
      </x:c>
    </x:row>
    <x:row r="101" ht="32" customHeight="1">
      <x:c r="A101" s="99" t="n">
        <x:v>97</x:v>
      </x:c>
      <x:c r="B101" s="145" t="n">
        <x:v>136</x:v>
      </x:c>
      <x:c r="C101" s="151" t="str">
        <x:v>只出现一次的数字</x:v>
      </x:c>
      <x:c r="D101" s="151" t="str">
        <x:v>Single Number</x:v>
      </x:c>
      <x:c r="E101" s="145" t="str">
        <x:v>简单</x:v>
      </x:c>
      <x:c r="F101" s="145" t="str">
        <x:v>位运算</x:v>
      </x:c>
      <x:c r="G101" s="165" t="str">
        <x:v>位运算</x:v>
      </x:c>
      <x:c r="H101" s="165" t="str">
        <x:v>异或消除成对元素</x:v>
      </x:c>
      <x:c r="I101" s="165" t="str">
        <x:v>Grind 169扩展</x:v>
      </x:c>
      <x:c r="J101" s="145" t="n">
        <x:v>44</x:v>
      </x:c>
      <x:c r="K101" s="145" t="n">
        <x:v>52</x:v>
      </x:c>
      <x:c r="L101" s="145" t="n">
        <x:v>60</x:v>
      </x:c>
      <x:c r="M101" s="145" t="n">
        <x:v>8</x:v>
      </x:c>
      <x:c r="N101" s="145" t="n">
        <x:v>16</x:v>
      </x:c>
      <x:c r="O101" s="145" t="n">
        <x:v>8</x:v>
      </x:c>
      <x:c r="P101" s="177" t="n">
        <x:v>15</x:v>
      </x:c>
      <x:c r="Q101" s="151" t="str">
        <x:v>https://leetcode.com/problems/single-number/</x:v>
      </x:c>
      <x:c r="R101" s="112" t="str">
        <x:v>https://www.techinterviewhandbook.org/grind75/?mode=all</x:v>
      </x:c>
    </x:row>
    <x:row r="102" ht="32" customHeight="1">
      <x:c r="A102" s="99" t="n">
        <x:v>98</x:v>
      </x:c>
      <x:c r="B102" s="145" t="n">
        <x:v>338</x:v>
      </x:c>
      <x:c r="C102" s="151" t="str">
        <x:v>比特位计数</x:v>
      </x:c>
      <x:c r="D102" s="151" t="str">
        <x:v>Counting Bits</x:v>
      </x:c>
      <x:c r="E102" s="145" t="str">
        <x:v>简单</x:v>
      </x:c>
      <x:c r="F102" s="145" t="str">
        <x:v>动态规划</x:v>
      </x:c>
      <x:c r="G102" s="165" t="str">
        <x:v>位运算与动态规划</x:v>
      </x:c>
      <x:c r="H102" s="165" t="str">
        <x:v>最低位递推</x:v>
      </x:c>
      <x:c r="I102" s="165" t="str">
        <x:v>Grind 169扩展</x:v>
      </x:c>
      <x:c r="J102" s="145" t="n">
        <x:v>44</x:v>
      </x:c>
      <x:c r="K102" s="145" t="n">
        <x:v>52</x:v>
      </x:c>
      <x:c r="L102" s="145" t="n">
        <x:v>60</x:v>
      </x:c>
      <x:c r="M102" s="145" t="n">
        <x:v>8</x:v>
      </x:c>
      <x:c r="N102" s="145" t="n">
        <x:v>16</x:v>
      </x:c>
      <x:c r="O102" s="145" t="n">
        <x:v>8</x:v>
      </x:c>
      <x:c r="P102" s="177" t="n">
        <x:v>20</x:v>
      </x:c>
      <x:c r="Q102" s="151" t="str">
        <x:v>https://leetcode.com/problems/counting-bits/</x:v>
      </x:c>
      <x:c r="R102" s="112" t="str">
        <x:v>https://www.techinterviewhandbook.org/grind75/?mode=all</x:v>
      </x:c>
    </x:row>
    <x:row r="103" ht="32" customHeight="1">
      <x:c r="A103" s="99" t="n">
        <x:v>99</x:v>
      </x:c>
      <x:c r="B103" s="145" t="n">
        <x:v>684</x:v>
      </x:c>
      <x:c r="C103" s="151" t="str">
        <x:v>冗余连接</x:v>
      </x:c>
      <x:c r="D103" s="151" t="str">
        <x:v>Redundant Connection</x:v>
      </x:c>
      <x:c r="E103" s="145" t="str">
        <x:v>中等</x:v>
      </x:c>
      <x:c r="F103" s="145" t="str">
        <x:v>图与并查集</x:v>
      </x:c>
      <x:c r="G103" s="165" t="str">
        <x:v>图论</x:v>
      </x:c>
      <x:c r="H103" s="165" t="str">
        <x:v>并查集检测成环</x:v>
      </x:c>
      <x:c r="I103" s="165" t="str">
        <x:v>代码随想录图论扩展</x:v>
      </x:c>
      <x:c r="J103" s="145" t="n">
        <x:v>45</x:v>
      </x:c>
      <x:c r="K103" s="145" t="n">
        <x:v>53</x:v>
      </x:c>
      <x:c r="L103" s="145" t="n">
        <x:v>60</x:v>
      </x:c>
      <x:c r="M103" s="145" t="n">
        <x:v>8</x:v>
      </x:c>
      <x:c r="N103" s="145" t="n">
        <x:v>15</x:v>
      </x:c>
      <x:c r="O103" s="145" t="n">
        <x:v>7</x:v>
      </x:c>
      <x:c r="P103" s="177" t="n">
        <x:v>30</x:v>
      </x:c>
      <x:c r="Q103" s="151" t="str">
        <x:v>https://leetcode.com/problems/redundant-connection/</x:v>
      </x:c>
      <x:c r="R103" s="112" t="str">
        <x:v>https://programmercarl.com/qita/12.list.html</x:v>
      </x:c>
    </x:row>
    <x:row r="104" ht="32" customHeight="1">
      <x:c r="A104" s="100" t="n">
        <x:v>100</x:v>
      </x:c>
      <x:c r="B104" s="146" t="n">
        <x:v>210</x:v>
      </x:c>
      <x:c r="C104" s="152" t="str">
        <x:v>课程表II</x:v>
      </x:c>
      <x:c r="D104" s="152" t="str">
        <x:v>Course Schedule II</x:v>
      </x:c>
      <x:c r="E104" s="146" t="str">
        <x:v>中等</x:v>
      </x:c>
      <x:c r="F104" s="146" t="str">
        <x:v>图与并查集</x:v>
      </x:c>
      <x:c r="G104" s="166" t="str">
        <x:v>图论</x:v>
      </x:c>
      <x:c r="H104" s="166" t="str">
        <x:v>拓扑排序输出路径</x:v>
      </x:c>
      <x:c r="I104" s="166" t="str">
        <x:v>Grind 169扩展</x:v>
      </x:c>
      <x:c r="J104" s="146" t="n">
        <x:v>45</x:v>
      </x:c>
      <x:c r="K104" s="146" t="n">
        <x:v>53</x:v>
      </x:c>
      <x:c r="L104" s="146" t="n">
        <x:v>60</x:v>
      </x:c>
      <x:c r="M104" s="146" t="n">
        <x:v>8</x:v>
      </x:c>
      <x:c r="N104" s="146" t="n">
        <x:v>15</x:v>
      </x:c>
      <x:c r="O104" s="146" t="n">
        <x:v>7</x:v>
      </x:c>
      <x:c r="P104" s="178" t="n">
        <x:v>35</x:v>
      </x:c>
      <x:c r="Q104" s="152" t="str">
        <x:v>https://leetcode.com/problems/course-schedule-ii/</x:v>
      </x:c>
      <x:c r="R104" s="113" t="str">
        <x:v>https://www.techinterviewhandbook.org/grind75/?mode=all</x:v>
      </x:c>
    </x:row>
  </x:sheetData>
  <x:mergeCells>
    <x:mergeCell ref="A1:R1"/>
    <x:mergeCell ref="A2:R2"/>
  </x:mergeCells>
  <x:conditionalFormatting sqref="E5:E104">
    <x:cfRule type="expression" dxfId="14" priority="1">
      <x:formula>E5="简单"</x:formula>
    </x:cfRule>
    <x:cfRule type="expression" dxfId="15" priority="2">
      <x:formula>E5="中等"</x:formula>
    </x:cfRule>
    <x:cfRule type="expression" dxfId="16" priority="3">
      <x:formula>E5="困难"</x:formula>
    </x:cfRule>
  </x:conditionalFormatting>
  <x:pageMargins left="0.7" right="0.7" top="0.75" bottom="0.75" header="0.3" footer="0.3"/>
  <x:tableParts count="1">
    <x:tablePart xmlns:r="http://schemas.openxmlformats.org/officeDocument/2006/relationships" r:id="R7feb81bc62a142c3"/>
  </x:tableParts>
</x:worksheet>
</file>

<file path=xl/worksheets/sheet5.xml><?xml version="1.0" encoding="utf-8"?>
<x:worksheet xmlns:x="http://schemas.openxmlformats.org/spreadsheetml/2006/main">
  <x:sheetFormatPr defaultRowHeight="15"/>
  <x:cols>
    <x:col min="1" max="1" width="24" hidden="0" customWidth="1"/>
    <x:col min="2" max="2" width="12" hidden="0" customWidth="1"/>
    <x:col min="3" max="3" width="12" hidden="0" customWidth="1"/>
    <x:col min="4" max="4" width="11" hidden="0" customWidth="1"/>
    <x:col min="5" max="5" width="3" hidden="0" customWidth="1"/>
    <x:col min="6" max="6" width="27" hidden="0" customWidth="1"/>
    <x:col min="7" max="7" width="12" hidden="0" customWidth="1"/>
    <x:col min="8" max="8" width="12" hidden="0" customWidth="1"/>
    <x:col min="9" max="9" width="12" hidden="0" customWidth="1"/>
    <x:col min="10" max="10" width="42" hidden="0" customWidth="1"/>
    <x:col min="11" max="11" width="3"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s>
  <x:sheetData>
    <x:row r="1" ht="36" customHeight="1">
      <x:c r="A1" s="5" t="str">
        <x:v>题型覆盖与训练结构</x:v>
      </x:c>
      <x:c r="B1" s="5"/>
      <x:c r="C1" s="5"/>
      <x:c r="D1" s="5"/>
      <x:c r="E1" s="5"/>
      <x:c r="F1" s="5"/>
      <x:c r="G1" s="5"/>
      <x:c r="H1" s="5"/>
      <x:c r="I1" s="5"/>
      <x:c r="J1" s="5"/>
      <x:c r="K1" s="5"/>
      <x:c r="L1" s="5"/>
      <x:c r="M1" s="5"/>
      <x:c r="N1" s="5"/>
      <x:c r="O1" s="5"/>
      <x:c r="P1" s="5"/>
      <x:c r="Q1" s="5"/>
      <x:c r="R1" s="5"/>
      <x:c r="S1" s="5"/>
    </x:row>
    <x:row r="2" ht="24" customHeight="1">
      <x:c r="A2" s="13" t="str">
        <x:v>统计按一百道核心题计算，每道题训练三次，因此训练次数等于核心题数的三倍。</x:v>
      </x:c>
      <x:c r="B2" s="13"/>
      <x:c r="C2" s="13"/>
      <x:c r="D2" s="13"/>
      <x:c r="E2" s="13"/>
      <x:c r="F2" s="13"/>
      <x:c r="G2" s="13"/>
      <x:c r="H2" s="13"/>
      <x:c r="I2" s="13"/>
      <x:c r="J2" s="13"/>
      <x:c r="K2" s="13"/>
      <x:c r="L2" s="13"/>
      <x:c r="M2" s="13"/>
      <x:c r="N2" s="13"/>
      <x:c r="O2" s="13"/>
      <x:c r="P2" s="13"/>
      <x:c r="Q2" s="13"/>
      <x:c r="R2" s="13"/>
      <x:c r="S2" s="13"/>
    </x:row>
    <x:row r="4">
      <x:c r="A4" s="128" t="str">
        <x:v>考点大类</x:v>
      </x:c>
      <x:c r="B4" s="129" t="str">
        <x:v>核心题数</x:v>
      </x:c>
      <x:c r="C4" s="129" t="str">
        <x:v>训练次数</x:v>
      </x:c>
      <x:c r="D4" s="130" t="str">
        <x:v>占比</x:v>
      </x:c>
      <x:c r="F4" s="128" t="str">
        <x:v>难度</x:v>
      </x:c>
      <x:c r="G4" s="129" t="str">
        <x:v>核心题数</x:v>
      </x:c>
      <x:c r="H4" s="130" t="str">
        <x:v>占比</x:v>
      </x:c>
    </x:row>
    <x:row r="5">
      <x:c r="A5" s="71" t="str">
        <x:v>动态规划</x:v>
      </x:c>
      <x:c r="B5" s="144" t="n">
        <x:v>13</x:v>
      </x:c>
      <x:c r="C5" s="144" t="n">
        <x:v>39</x:v>
      </x:c>
      <x:c r="D5" s="216" t="n">
        <x:v>0.13</x:v>
      </x:c>
      <x:c r="F5" s="71" t="str">
        <x:v>简单</x:v>
      </x:c>
      <x:c r="G5" s="144" t="n">
        <x:v>27</x:v>
      </x:c>
      <x:c r="H5" s="216" t="n">
        <x:v>0.27</x:v>
      </x:c>
    </x:row>
    <x:row r="6">
      <x:c r="A6" s="74" t="str">
        <x:v>树与递归</x:v>
      </x:c>
      <x:c r="B6" s="145" t="n">
        <x:v>13</x:v>
      </x:c>
      <x:c r="C6" s="145" t="n">
        <x:v>39</x:v>
      </x:c>
      <x:c r="D6" s="217" t="n">
        <x:v>0.13</x:v>
      </x:c>
      <x:c r="F6" s="74" t="str">
        <x:v>中等</x:v>
      </x:c>
      <x:c r="G6" s="145" t="n">
        <x:v>63</x:v>
      </x:c>
      <x:c r="H6" s="217" t="n">
        <x:v>0.63</x:v>
      </x:c>
    </x:row>
    <x:row r="7">
      <x:c r="A7" s="74" t="str">
        <x:v>图与并查集</x:v>
      </x:c>
      <x:c r="B7" s="145" t="n">
        <x:v>12</x:v>
      </x:c>
      <x:c r="C7" s="145" t="n">
        <x:v>36</x:v>
      </x:c>
      <x:c r="D7" s="217" t="n">
        <x:v>0.12</x:v>
      </x:c>
      <x:c r="F7" s="77" t="str">
        <x:v>困难</x:v>
      </x:c>
      <x:c r="G7" s="146" t="n">
        <x:v>10</x:v>
      </x:c>
      <x:c r="H7" s="218" t="n">
        <x:v>0.1</x:v>
      </x:c>
    </x:row>
    <x:row r="8">
      <x:c r="A8" s="74" t="str">
        <x:v>回溯</x:v>
      </x:c>
      <x:c r="B8" s="145" t="n">
        <x:v>8</x:v>
      </x:c>
      <x:c r="C8" s="145" t="n">
        <x:v>24</x:v>
      </x:c>
      <x:c r="D8" s="217" t="n">
        <x:v>0.08</x:v>
      </x:c>
    </x:row>
    <x:row r="9">
      <x:c r="A9" s="74" t="str">
        <x:v>贪心与区间</x:v>
      </x:c>
      <x:c r="B9" s="145" t="n">
        <x:v>7</x:v>
      </x:c>
      <x:c r="C9" s="145" t="n">
        <x:v>21</x:v>
      </x:c>
      <x:c r="D9" s="217" t="n">
        <x:v>0.07</x:v>
      </x:c>
    </x:row>
    <x:row r="10">
      <x:c r="A10" s="74" t="str">
        <x:v>链表</x:v>
      </x:c>
      <x:c r="B10" s="145" t="n">
        <x:v>7</x:v>
      </x:c>
      <x:c r="C10" s="145" t="n">
        <x:v>21</x:v>
      </x:c>
      <x:c r="D10" s="217" t="n">
        <x:v>0.07</x:v>
      </x:c>
      <x:c r="F10" s="128" t="str">
        <x:v>来源</x:v>
      </x:c>
      <x:c r="G10" s="129" t="str">
        <x:v>核心题数</x:v>
      </x:c>
      <x:c r="H10" s="130" t="str">
        <x:v>占比</x:v>
      </x:c>
    </x:row>
    <x:row r="11">
      <x:c r="A11" s="74" t="str">
        <x:v>数组与哈希</x:v>
      </x:c>
      <x:c r="B11" s="145" t="n">
        <x:v>6</x:v>
      </x:c>
      <x:c r="C11" s="145" t="n">
        <x:v>18</x:v>
      </x:c>
      <x:c r="D11" s="217" t="n">
        <x:v>0.06</x:v>
      </x:c>
      <x:c r="F11" s="71" t="str">
        <x:v>Grind 75核心</x:v>
      </x:c>
      <x:c r="G11" s="144" t="n">
        <x:v>75</x:v>
      </x:c>
      <x:c r="H11" s="216" t="n">
        <x:v>0.75</x:v>
      </x:c>
    </x:row>
    <x:row r="12">
      <x:c r="A12" s="74" t="str">
        <x:v>双指针</x:v>
      </x:c>
      <x:c r="B12" s="145" t="n">
        <x:v>5</x:v>
      </x:c>
      <x:c r="C12" s="145" t="n">
        <x:v>15</x:v>
      </x:c>
      <x:c r="D12" s="217" t="n">
        <x:v>0.05</x:v>
      </x:c>
      <x:c r="F12" s="74" t="str">
        <x:v>代码随想录补充</x:v>
      </x:c>
      <x:c r="G12" s="145" t="n">
        <x:v>20</x:v>
      </x:c>
      <x:c r="H12" s="217" t="n">
        <x:v>0.2</x:v>
      </x:c>
    </x:row>
    <x:row r="13">
      <x:c r="A13" s="74" t="str">
        <x:v>堆与优先队列</x:v>
      </x:c>
      <x:c r="B13" s="145" t="n">
        <x:v>5</x:v>
      </x:c>
      <x:c r="C13" s="145" t="n">
        <x:v>15</x:v>
      </x:c>
      <x:c r="D13" s="217" t="n">
        <x:v>0.05</x:v>
      </x:c>
      <x:c r="F13" s="74" t="str">
        <x:v>Grind 169扩展</x:v>
      </x:c>
      <x:c r="G13" s="145" t="n">
        <x:v>4</x:v>
      </x:c>
      <x:c r="H13" s="217" t="n">
        <x:v>0.04</x:v>
      </x:c>
    </x:row>
    <x:row r="14">
      <x:c r="A14" s="74" t="str">
        <x:v>栈与队列</x:v>
      </x:c>
      <x:c r="B14" s="145" t="n">
        <x:v>5</x:v>
      </x:c>
      <x:c r="C14" s="145" t="n">
        <x:v>15</x:v>
      </x:c>
      <x:c r="D14" s="217" t="n">
        <x:v>0.05</x:v>
      </x:c>
      <x:c r="F14" s="77" t="str">
        <x:v>代码随想录图论扩展</x:v>
      </x:c>
      <x:c r="G14" s="146" t="n">
        <x:v>1</x:v>
      </x:c>
      <x:c r="H14" s="218" t="n">
        <x:v>0.01</x:v>
      </x:c>
    </x:row>
    <x:row r="15">
      <x:c r="A15" s="74" t="str">
        <x:v>滑动窗口与单调队列</x:v>
      </x:c>
      <x:c r="B15" s="145" t="n">
        <x:v>5</x:v>
      </x:c>
      <x:c r="C15" s="145" t="n">
        <x:v>15</x:v>
      </x:c>
      <x:c r="D15" s="217" t="n">
        <x:v>0.05</x:v>
      </x:c>
    </x:row>
    <x:row r="16">
      <x:c r="A16" s="74" t="str">
        <x:v>二分查找</x:v>
      </x:c>
      <x:c r="B16" s="145" t="n">
        <x:v>4</x:v>
      </x:c>
      <x:c r="C16" s="145" t="n">
        <x:v>12</x:v>
      </x:c>
      <x:c r="D16" s="217" t="n">
        <x:v>0.04</x:v>
      </x:c>
    </x:row>
    <x:row r="17">
      <x:c r="A17" s="74" t="str">
        <x:v>单调栈</x:v>
      </x:c>
      <x:c r="B17" s="145" t="n">
        <x:v>3</x:v>
      </x:c>
      <x:c r="C17" s="145" t="n">
        <x:v>9</x:v>
      </x:c>
      <x:c r="D17" s="217" t="n">
        <x:v>0.03</x:v>
      </x:c>
      <x:c r="F17" s="128" t="str">
        <x:v>阶段</x:v>
      </x:c>
      <x:c r="G17" s="129" t="str">
        <x:v>天数</x:v>
      </x:c>
      <x:c r="H17" s="129" t="str">
        <x:v>新题数</x:v>
      </x:c>
      <x:c r="I17" s="129" t="str">
        <x:v>复做数</x:v>
      </x:c>
      <x:c r="J17" s="130" t="str">
        <x:v>训练重点</x:v>
      </x:c>
    </x:row>
    <x:row r="18" ht="34" customHeight="1">
      <x:c r="A18" s="74" t="str">
        <x:v>位运算</x:v>
      </x:c>
      <x:c r="B18" s="145" t="n">
        <x:v>2</x:v>
      </x:c>
      <x:c r="C18" s="145" t="n">
        <x:v>6</x:v>
      </x:c>
      <x:c r="D18" s="217" t="n">
        <x:v>0.02</x:v>
      </x:c>
      <x:c r="F18" s="71" t="str">
        <x:v>阶段一 基础模式与语言热身</x:v>
      </x:c>
      <x:c r="G18" s="144" t="n">
        <x:v>8</x:v>
      </x:c>
      <x:c r="H18" s="144" t="n">
        <x:v>26</x:v>
      </x:c>
      <x:c r="I18" s="144" t="n">
        <x:v>14</x:v>
      </x:c>
      <x:c r="J18" s="110" t="str">
        <x:v>建立数组、哈希、链表、栈、树和二分的基础语言</x:v>
      </x:c>
    </x:row>
    <x:row r="19" ht="34" customHeight="1">
      <x:c r="A19" s="74" t="str">
        <x:v>字符串</x:v>
      </x:c>
      <x:c r="B19" s="145" t="n">
        <x:v>2</x:v>
      </x:c>
      <x:c r="C19" s="145" t="n">
        <x:v>6</x:v>
      </x:c>
      <x:c r="D19" s="217" t="n">
        <x:v>0.02</x:v>
      </x:c>
      <x:c r="F19" s="74" t="str">
        <x:v>阶段二 高频中等题主干</x:v>
      </x:c>
      <x:c r="G19" s="145" t="n">
        <x:v>12</x:v>
      </x:c>
      <x:c r="H19" s="145" t="n">
        <x:v>24</x:v>
      </x:c>
      <x:c r="I19" s="145" t="n">
        <x:v>36</x:v>
      </x:c>
      <x:c r="J19" s="112" t="str">
        <x:v>扩大高频中等题模式，开始稳定限时表达</x:v>
      </x:c>
    </x:row>
    <x:row r="20" ht="34" customHeight="1">
      <x:c r="A20" s="74" t="str">
        <x:v>Trie</x:v>
      </x:c>
      <x:c r="B20" s="145" t="n">
        <x:v>1</x:v>
      </x:c>
      <x:c r="C20" s="145" t="n">
        <x:v>3</x:v>
      </x:c>
      <x:c r="D20" s="217" t="n">
        <x:v>0.01</x:v>
      </x:c>
      <x:c r="F20" s="74" t="str">
        <x:v>阶段三 树图动态规划深化</x:v>
      </x:c>
      <x:c r="G20" s="145" t="n">
        <x:v>13</x:v>
      </x:c>
      <x:c r="H20" s="145" t="n">
        <x:v>26</x:v>
      </x:c>
      <x:c r="I20" s="145" t="n">
        <x:v>39</x:v>
      </x:c>
      <x:c r="J20" s="112" t="str">
        <x:v>深化树、图、回溯和动态规划，强化状态定义</x:v>
      </x:c>
    </x:row>
    <x:row r="21" ht="34" customHeight="1">
      <x:c r="A21" s="74" t="str">
        <x:v>矩阵</x:v>
      </x:c>
      <x:c r="B21" s="145" t="n">
        <x:v>1</x:v>
      </x:c>
      <x:c r="C21" s="145" t="n">
        <x:v>3</x:v>
      </x:c>
      <x:c r="D21" s="217" t="n">
        <x:v>0.01</x:v>
      </x:c>
      <x:c r="F21" s="74" t="str">
        <x:v>阶段四 专题补强与难题</x:v>
      </x:c>
      <x:c r="G21" s="145" t="n">
        <x:v>12</x:v>
      </x:c>
      <x:c r="H21" s="145" t="n">
        <x:v>24</x:v>
      </x:c>
      <x:c r="I21" s="145" t="n">
        <x:v>36</x:v>
      </x:c>
      <x:c r="J21" s="112" t="str">
        <x:v>补齐区间、堆、单调结构、位运算和困难题</x:v>
      </x:c>
    </x:row>
    <x:row r="22" ht="34" customHeight="1">
      <x:c r="A22" s="77" t="str">
        <x:v>设计</x:v>
      </x:c>
      <x:c r="B22" s="146" t="n">
        <x:v>1</x:v>
      </x:c>
      <x:c r="C22" s="146" t="n">
        <x:v>3</x:v>
      </x:c>
      <x:c r="D22" s="218" t="n">
        <x:v>0.01</x:v>
      </x:c>
      <x:c r="F22" s="74" t="str">
        <x:v>阶段五 交错限时模拟</x:v>
      </x:c>
      <x:c r="G22" s="145" t="n">
        <x:v>7</x:v>
      </x:c>
      <x:c r="H22" s="145" t="n">
        <x:v>0</x:v>
      </x:c>
      <x:c r="I22" s="145" t="n">
        <x:v>35</x:v>
      </x:c>
      <x:c r="J22" s="112" t="str">
        <x:v>跨专题限时模拟，减少依赖最近记忆</x:v>
      </x:c>
    </x:row>
    <x:row r="23" ht="34" customHeight="1">
      <x:c r="F23" s="77" t="str">
        <x:v>阶段六 面试冲刺与错题回收</x:v>
      </x:c>
      <x:c r="G23" s="146" t="n">
        <x:v>8</x:v>
      </x:c>
      <x:c r="H23" s="146" t="n">
        <x:v>0</x:v>
      </x:c>
      <x:c r="I23" s="146" t="n">
        <x:v>40</x:v>
      </x:c>
      <x:c r="J23" s="113" t="str">
        <x:v>面试冲刺，回收低分题和高频模式</x:v>
      </x:c>
    </x:row>
    <x:row r="27">
      <x:c r="A27" s="128" t="str">
        <x:v>主专题</x:v>
      </x:c>
      <x:c r="B27" s="129" t="str">
        <x:v>核心题数</x:v>
      </x:c>
      <x:c r="C27" s="129" t="str">
        <x:v>训练次数</x:v>
      </x:c>
      <x:c r="D27" s="130" t="str">
        <x:v>占比</x:v>
      </x:c>
    </x:row>
    <x:row r="28">
      <x:c r="A28" s="71" t="str">
        <x:v>图论</x:v>
      </x:c>
      <x:c r="B28" s="144" t="n">
        <x:v>11</x:v>
      </x:c>
      <x:c r="C28" s="144" t="n">
        <x:v>33</x:v>
      </x:c>
      <x:c r="D28" s="216" t="n">
        <x:v>0.11</x:v>
      </x:c>
    </x:row>
    <x:row r="29">
      <x:c r="A29" s="74" t="str">
        <x:v>二叉树</x:v>
      </x:c>
      <x:c r="B29" s="145" t="n">
        <x:v>10</x:v>
      </x:c>
      <x:c r="C29" s="145" t="n">
        <x:v>30</x:v>
      </x:c>
      <x:c r="D29" s="217" t="n">
        <x:v>0.1</x:v>
      </x:c>
    </x:row>
    <x:row r="30">
      <x:c r="A30" s="74" t="str">
        <x:v>动态规划</x:v>
      </x:c>
      <x:c r="B30" s="145" t="n">
        <x:v>10</x:v>
      </x:c>
      <x:c r="C30" s="145" t="n">
        <x:v>30</x:v>
      </x:c>
      <x:c r="D30" s="217" t="n">
        <x:v>0.1</x:v>
      </x:c>
    </x:row>
    <x:row r="31">
      <x:c r="A31" s="74" t="str">
        <x:v>回溯</x:v>
      </x:c>
      <x:c r="B31" s="145" t="n">
        <x:v>8</x:v>
      </x:c>
      <x:c r="C31" s="145" t="n">
        <x:v>24</x:v>
      </x:c>
      <x:c r="D31" s="217" t="n">
        <x:v>0.08</x:v>
      </x:c>
    </x:row>
    <x:row r="32">
      <x:c r="A32" s="74" t="str">
        <x:v>链表</x:v>
      </x:c>
      <x:c r="B32" s="145" t="n">
        <x:v>7</x:v>
      </x:c>
      <x:c r="C32" s="145" t="n">
        <x:v>21</x:v>
      </x:c>
      <x:c r="D32" s="217" t="n">
        <x:v>0.07</x:v>
      </x:c>
    </x:row>
    <x:row r="33">
      <x:c r="A33" s="74" t="str">
        <x:v>栈与队列</x:v>
      </x:c>
      <x:c r="B33" s="145" t="n">
        <x:v>5</x:v>
      </x:c>
      <x:c r="C33" s="145" t="n">
        <x:v>15</x:v>
      </x:c>
      <x:c r="D33" s="217" t="n">
        <x:v>0.05</x:v>
      </x:c>
    </x:row>
    <x:row r="34">
      <x:c r="A34" s="74" t="str">
        <x:v>二分查找</x:v>
      </x:c>
      <x:c r="B34" s="145" t="n">
        <x:v>4</x:v>
      </x:c>
      <x:c r="C34" s="145" t="n">
        <x:v>12</x:v>
      </x:c>
      <x:c r="D34" s="217" t="n">
        <x:v>0.04</x:v>
      </x:c>
    </x:row>
    <x:row r="35">
      <x:c r="A35" s="74" t="str">
        <x:v>区间与贪心</x:v>
      </x:c>
      <x:c r="B35" s="145" t="n">
        <x:v>4</x:v>
      </x:c>
      <x:c r="C35" s="145" t="n">
        <x:v>12</x:v>
      </x:c>
      <x:c r="D35" s="217" t="n">
        <x:v>0.04</x:v>
      </x:c>
    </x:row>
    <x:row r="36">
      <x:c r="A36" s="74" t="str">
        <x:v>双指针</x:v>
      </x:c>
      <x:c r="B36" s="145" t="n">
        <x:v>4</x:v>
      </x:c>
      <x:c r="C36" s="145" t="n">
        <x:v>12</x:v>
      </x:c>
      <x:c r="D36" s="217" t="n">
        <x:v>0.04</x:v>
      </x:c>
    </x:row>
    <x:row r="37">
      <x:c r="A37" s="74" t="str">
        <x:v>数组与哈希</x:v>
      </x:c>
      <x:c r="B37" s="145" t="n">
        <x:v>4</x:v>
      </x:c>
      <x:c r="C37" s="145" t="n">
        <x:v>12</x:v>
      </x:c>
      <x:c r="D37" s="217" t="n">
        <x:v>0.04</x:v>
      </x:c>
    </x:row>
    <x:row r="38">
      <x:c r="A38" s="74" t="str">
        <x:v>滑动窗口</x:v>
      </x:c>
      <x:c r="B38" s="145" t="n">
        <x:v>4</x:v>
      </x:c>
      <x:c r="C38" s="145" t="n">
        <x:v>12</x:v>
      </x:c>
      <x:c r="D38" s="217" t="n">
        <x:v>0.04</x:v>
      </x:c>
    </x:row>
    <x:row r="39">
      <x:c r="A39" s="74" t="str">
        <x:v>二叉搜索树</x:v>
      </x:c>
      <x:c r="B39" s="145" t="n">
        <x:v>3</x:v>
      </x:c>
      <x:c r="C39" s="145" t="n">
        <x:v>9</x:v>
      </x:c>
      <x:c r="D39" s="217" t="n">
        <x:v>0.03</x:v>
      </x:c>
    </x:row>
    <x:row r="40">
      <x:c r="A40" s="74" t="str">
        <x:v>堆与优先队列</x:v>
      </x:c>
      <x:c r="B40" s="145" t="n">
        <x:v>3</x:v>
      </x:c>
      <x:c r="C40" s="145" t="n">
        <x:v>9</x:v>
      </x:c>
      <x:c r="D40" s="217" t="n">
        <x:v>0.03</x:v>
      </x:c>
    </x:row>
    <x:row r="41">
      <x:c r="A41" s="74" t="str">
        <x:v>单调栈</x:v>
      </x:c>
      <x:c r="B41" s="145" t="n">
        <x:v>2</x:v>
      </x:c>
      <x:c r="C41" s="145" t="n">
        <x:v>6</x:v>
      </x:c>
      <x:c r="D41" s="217" t="n">
        <x:v>0.02</x:v>
      </x:c>
    </x:row>
    <x:row r="42">
      <x:c r="A42" s="74" t="str">
        <x:v>数组与贪心</x:v>
      </x:c>
      <x:c r="B42" s="145" t="n">
        <x:v>2</x:v>
      </x:c>
      <x:c r="C42" s="145" t="n">
        <x:v>6</x:v>
      </x:c>
      <x:c r="D42" s="217" t="n">
        <x:v>0.02</x:v>
      </x:c>
    </x:row>
    <x:row r="43">
      <x:c r="A43" s="74" t="str">
        <x:v>Trie</x:v>
      </x:c>
      <x:c r="B43" s="145" t="n">
        <x:v>1</x:v>
      </x:c>
      <x:c r="C43" s="145" t="n">
        <x:v>3</x:v>
      </x:c>
      <x:c r="D43" s="217" t="n">
        <x:v>0.01</x:v>
      </x:c>
    </x:row>
    <x:row r="44">
      <x:c r="A44" s="74" t="str">
        <x:v>位运算</x:v>
      </x:c>
      <x:c r="B44" s="145" t="n">
        <x:v>1</x:v>
      </x:c>
      <x:c r="C44" s="145" t="n">
        <x:v>3</x:v>
      </x:c>
      <x:c r="D44" s="217" t="n">
        <x:v>0.01</x:v>
      </x:c>
    </x:row>
    <x:row r="45">
      <x:c r="A45" s="74" t="str">
        <x:v>位运算与动态规划</x:v>
      </x:c>
      <x:c r="B45" s="145" t="n">
        <x:v>1</x:v>
      </x:c>
      <x:c r="C45" s="145" t="n">
        <x:v>3</x:v>
      </x:c>
      <x:c r="D45" s="217" t="n">
        <x:v>0.01</x:v>
      </x:c>
    </x:row>
    <x:row r="46">
      <x:c r="A46" s="74" t="str">
        <x:v>位运算与字符串</x:v>
      </x:c>
      <x:c r="B46" s="145" t="n">
        <x:v>1</x:v>
      </x:c>
      <x:c r="C46" s="145" t="n">
        <x:v>3</x:v>
      </x:c>
      <x:c r="D46" s="217" t="n">
        <x:v>0.01</x:v>
      </x:c>
    </x:row>
    <x:row r="47">
      <x:c r="A47" s="74" t="str">
        <x:v>前缀和与哈希</x:v>
      </x:c>
      <x:c r="B47" s="145" t="n">
        <x:v>1</x:v>
      </x:c>
      <x:c r="C47" s="145" t="n">
        <x:v>3</x:v>
      </x:c>
      <x:c r="D47" s="217" t="n">
        <x:v>0.01</x:v>
      </x:c>
    </x:row>
    <x:row r="48">
      <x:c r="A48" s="74" t="str">
        <x:v>动态规划与二分</x:v>
      </x:c>
      <x:c r="B48" s="145" t="n">
        <x:v>1</x:v>
      </x:c>
      <x:c r="C48" s="145" t="n">
        <x:v>3</x:v>
      </x:c>
      <x:c r="D48" s="217" t="n">
        <x:v>0.01</x:v>
      </x:c>
    </x:row>
    <x:row r="49">
      <x:c r="A49" s="74" t="str">
        <x:v>单调栈与双指针</x:v>
      </x:c>
      <x:c r="B49" s="145" t="n">
        <x:v>1</x:v>
      </x:c>
      <x:c r="C49" s="145" t="n">
        <x:v>3</x:v>
      </x:c>
      <x:c r="D49" s="217" t="n">
        <x:v>0.01</x:v>
      </x:c>
    </x:row>
    <x:row r="50">
      <x:c r="A50" s="74" t="str">
        <x:v>单调队列</x:v>
      </x:c>
      <x:c r="B50" s="145" t="n">
        <x:v>1</x:v>
      </x:c>
      <x:c r="C50" s="145" t="n">
        <x:v>3</x:v>
      </x:c>
      <x:c r="D50" s="217" t="n">
        <x:v>0.01</x:v>
      </x:c>
    </x:row>
    <x:row r="51">
      <x:c r="A51" s="74" t="str">
        <x:v>回溯与图论</x:v>
      </x:c>
      <x:c r="B51" s="145" t="n">
        <x:v>1</x:v>
      </x:c>
      <x:c r="C51" s="145" t="n">
        <x:v>3</x:v>
      </x:c>
      <x:c r="D51" s="217" t="n">
        <x:v>0.01</x:v>
      </x:c>
    </x:row>
    <x:row r="52">
      <x:c r="A52" s="74" t="str">
        <x:v>堆与贪心</x:v>
      </x:c>
      <x:c r="B52" s="145" t="n">
        <x:v>1</x:v>
      </x:c>
      <x:c r="C52" s="145" t="n">
        <x:v>3</x:v>
      </x:c>
      <x:c r="D52" s="217" t="n">
        <x:v>0.01</x:v>
      </x:c>
    </x:row>
    <x:row r="53">
      <x:c r="A53" s="74" t="str">
        <x:v>堆与链表</x:v>
      </x:c>
      <x:c r="B53" s="145" t="n">
        <x:v>1</x:v>
      </x:c>
      <x:c r="C53" s="145" t="n">
        <x:v>3</x:v>
      </x:c>
      <x:c r="D53" s="217" t="n">
        <x:v>0.01</x:v>
      </x:c>
    </x:row>
    <x:row r="54">
      <x:c r="A54" s="74" t="str">
        <x:v>字符串与动态规划</x:v>
      </x:c>
      <x:c r="B54" s="145" t="n">
        <x:v>1</x:v>
      </x:c>
      <x:c r="C54" s="145" t="n">
        <x:v>3</x:v>
      </x:c>
      <x:c r="D54" s="217" t="n">
        <x:v>0.01</x:v>
      </x:c>
    </x:row>
    <x:row r="55">
      <x:c r="A55" s="74" t="str">
        <x:v>字符串与双指针</x:v>
      </x:c>
      <x:c r="B55" s="145" t="n">
        <x:v>1</x:v>
      </x:c>
      <x:c r="C55" s="145" t="n">
        <x:v>3</x:v>
      </x:c>
      <x:c r="D55" s="217" t="n">
        <x:v>0.01</x:v>
      </x:c>
    </x:row>
    <x:row r="56">
      <x:c r="A56" s="74" t="str">
        <x:v>字符串与哈希</x:v>
      </x:c>
      <x:c r="B56" s="145" t="n">
        <x:v>1</x:v>
      </x:c>
      <x:c r="C56" s="145" t="n">
        <x:v>3</x:v>
      </x:c>
      <x:c r="D56" s="217" t="n">
        <x:v>0.01</x:v>
      </x:c>
    </x:row>
    <x:row r="57">
      <x:c r="A57" s="74" t="str">
        <x:v>字符串与模拟</x:v>
      </x:c>
      <x:c r="B57" s="145" t="n">
        <x:v>1</x:v>
      </x:c>
      <x:c r="C57" s="145" t="n">
        <x:v>3</x:v>
      </x:c>
      <x:c r="D57" s="217" t="n">
        <x:v>0.01</x:v>
      </x:c>
    </x:row>
    <x:row r="58">
      <x:c r="A58" s="74" t="str">
        <x:v>数组与前缀</x:v>
      </x:c>
      <x:c r="B58" s="145" t="n">
        <x:v>1</x:v>
      </x:c>
      <x:c r="C58" s="145" t="n">
        <x:v>3</x:v>
      </x:c>
      <x:c r="D58" s="217" t="n">
        <x:v>0.01</x:v>
      </x:c>
    </x:row>
    <x:row r="59">
      <x:c r="A59" s="74" t="str">
        <x:v>矩阵与模拟</x:v>
      </x:c>
      <x:c r="B59" s="145" t="n">
        <x:v>1</x:v>
      </x:c>
      <x:c r="C59" s="145" t="n">
        <x:v>3</x:v>
      </x:c>
      <x:c r="D59" s="217" t="n">
        <x:v>0.01</x:v>
      </x:c>
    </x:row>
    <x:row r="60">
      <x:c r="A60" s="74" t="str">
        <x:v>设计</x:v>
      </x:c>
      <x:c r="B60" s="145" t="n">
        <x:v>1</x:v>
      </x:c>
      <x:c r="C60" s="145" t="n">
        <x:v>3</x:v>
      </x:c>
      <x:c r="D60" s="217" t="n">
        <x:v>0.01</x:v>
      </x:c>
    </x:row>
    <x:row r="61">
      <x:c r="A61" s="77" t="str">
        <x:v>贪心</x:v>
      </x:c>
      <x:c r="B61" s="146" t="n">
        <x:v>1</x:v>
      </x:c>
      <x:c r="C61" s="146" t="n">
        <x:v>3</x:v>
      </x:c>
      <x:c r="D61" s="218" t="n">
        <x:v>0.01</x:v>
      </x:c>
    </x:row>
  </x:sheetData>
  <x:mergeCells>
    <x:mergeCell ref="A1:S1"/>
    <x:mergeCell ref="A2:S2"/>
  </x:mergeCells>
  <x:conditionalFormatting sqref="B5:B22">
    <x:cfRule type="dataBar" priority="1">
      <x:dataBar>
        <x:cfvo type="min"/>
        <x:cfvo type="max"/>
        <x:color rgb="FF2563EB"/>
      </x:dataBar>
      <x:extLst>
        <x:ext xmlns:x14="http://schemas.microsoft.com/office/spreadsheetml/2009/9/main" uri="{B025F937-C7B1-47D3-B67F-A62EFF666E3E}">
          <x14:id>{717E0DCE-109F-637D-7842-8B9C0588FBCE}</x14:id>
        </x:ext>
      </x:extLst>
    </x:cfRule>
  </x:conditionalFormatting>
  <x:conditionalFormatting sqref="F5:F7">
    <x:cfRule type="expression" dxfId="17" priority="2">
      <x:formula>F5="简单"</x:formula>
    </x:cfRule>
    <x:cfRule type="expression" dxfId="18" priority="3">
      <x:formula>F5="中等"</x:formula>
    </x:cfRule>
    <x:cfRule type="expression" dxfId="19" priority="4">
      <x:formula>F5="困难"</x:formula>
    </x:cfRule>
  </x:conditionalFormatting>
  <x:pageMargins left="0.7" right="0.7" top="0.75" bottom="0.75" header="0.3" footer="0.3"/>
  <x:drawing xmlns:r="http://schemas.openxmlformats.org/officeDocument/2006/relationships" r:id="R7073249874fe49ea"/>
  <x:tableParts count="2">
    <x:tablePart xmlns:r="http://schemas.openxmlformats.org/officeDocument/2006/relationships" r:id="Rf3578063fc864bd3"/>
    <x:tablePart xmlns:r="http://schemas.openxmlformats.org/officeDocument/2006/relationships" r:id="R9358458eac994dee"/>
  </x:tableParts>
  <x:extLst>
    <x:ext xmlns:x14="http://schemas.microsoft.com/office/spreadsheetml/2009/9/main" xmlns:xm="http://schemas.microsoft.com/office/excel/2006/main" uri="{78C0D931-6437-407d-A8EE-F0AAD7539E65}">
      <x14:conditionalFormattings>
        <x14:conditionalFormatting>
          <x14:cfRule type="dataBar" priority="1" id="{717E0DCE-109F-637D-7842-8B9C0588FBCE}">
            <x14:dataBar gradient="1">
              <x14:cfvo type="min"/>
              <x14:cfvo type="max"/>
              <x14:fillColor rgb="FF2563EB"/>
            </x14:dataBar>
          </x14:cfRule>
          <xm:sqref>B5:B22</xm:sqref>
        </x14:conditionalFormatting>
      </x14:conditionalFormattings>
    </x:ext>
  </x:extLst>
</x:worksheet>
</file>

<file path=xl/worksheets/sheet6.xml><?xml version="1.0" encoding="utf-8"?>
<x:worksheet xmlns:x="http://schemas.openxmlformats.org/spreadsheetml/2006/main">
  <x:sheetFormatPr defaultRowHeight="15"/>
  <x:cols>
    <x:col min="1" max="1" width="13" hidden="0" customWidth="1"/>
    <x:col min="2" max="2" width="9" hidden="0" customWidth="1"/>
    <x:col min="3" max="3" width="9" hidden="0" customWidth="1"/>
    <x:col min="4" max="4" width="23" hidden="0" customWidth="1"/>
    <x:col min="5" max="5" width="11" hidden="0" customWidth="1"/>
    <x:col min="6" max="6" width="17" hidden="0" customWidth="1"/>
    <x:col min="7" max="7" width="30" hidden="0" customWidth="1"/>
    <x:col min="8" max="8" width="32" hidden="0" customWidth="1"/>
    <x:col min="9" max="9" width="25" hidden="0" customWidth="1"/>
    <x:col min="10" max="10" width="30" hidden="0" customWidth="1"/>
    <x:col min="11" max="11" width="13" hidden="0" customWidth="1"/>
    <x:col min="12" max="12" width="12" hidden="0" customWidth="1"/>
    <x:col min="13" max="13" width="38" hidden="0" customWidth="1"/>
  </x:cols>
  <x:sheetData>
    <x:row r="1" ht="36" customHeight="1">
      <x:c r="A1" s="5" t="str">
        <x:v>错题复盘与修复记录</x:v>
      </x:c>
      <x:c r="B1" s="5"/>
      <x:c r="C1" s="5"/>
      <x:c r="D1" s="5"/>
      <x:c r="E1" s="5"/>
      <x:c r="F1" s="5"/>
      <x:c r="G1" s="5"/>
      <x:c r="H1" s="5"/>
      <x:c r="I1" s="5"/>
      <x:c r="J1" s="5"/>
      <x:c r="K1" s="5"/>
      <x:c r="L1" s="5"/>
      <x:c r="M1" s="5"/>
    </x:row>
    <x:row r="2" ht="24" customHeight="1">
      <x:c r="A2" s="13" t="str">
        <x:v>独立完成分为零或一时必须登记。根因要描述认知缺口，不只写粗心。题号填写后，题目名称会自动带出。</x:v>
      </x:c>
      <x:c r="B2" s="13"/>
      <x:c r="C2" s="13"/>
      <x:c r="D2" s="13"/>
      <x:c r="E2" s="13"/>
      <x:c r="F2" s="13"/>
      <x:c r="G2" s="13"/>
      <x:c r="H2" s="13"/>
      <x:c r="I2" s="13"/>
      <x:c r="J2" s="13"/>
      <x:c r="K2" s="13"/>
      <x:c r="L2" s="13"/>
      <x:c r="M2" s="13"/>
    </x:row>
    <x:row r="4" ht="36" customHeight="1">
      <x:c r="A4" s="128" t="str">
        <x:v>登记日期</x:v>
      </x:c>
      <x:c r="B4" s="129" t="str">
        <x:v>计划日</x:v>
      </x:c>
      <x:c r="C4" s="129" t="str">
        <x:v>题号</x:v>
      </x:c>
      <x:c r="D4" s="129" t="str">
        <x:v>题目</x:v>
      </x:c>
      <x:c r="E4" s="129" t="str">
        <x:v>当次得分</x:v>
      </x:c>
      <x:c r="F4" s="129" t="str">
        <x:v>错误类型</x:v>
      </x:c>
      <x:c r="G4" s="129" t="str">
        <x:v>根因</x:v>
      </x:c>
      <x:c r="H4" s="129" t="str">
        <x:v>正确不变量</x:v>
      </x:c>
      <x:c r="I4" s="129" t="str">
        <x:v>最小反例</x:v>
      </x:c>
      <x:c r="J4" s="129" t="str">
        <x:v>修正方案</x:v>
      </x:c>
      <x:c r="K4" s="129" t="str">
        <x:v>建议加练日</x:v>
      </x:c>
      <x:c r="L4" s="129" t="str">
        <x:v>修复状态</x:v>
      </x:c>
      <x:c r="M4" s="130" t="str">
        <x:v>面试表达</x:v>
      </x:c>
    </x:row>
    <x:row r="5" ht="40" customHeight="1">
      <x:c r="A5" s="222"/>
      <x:c r="B5" s="144"/>
      <x:c r="C5" s="144"/>
      <x:c r="D5" s="144" t="str">
        <x:f>IFERROR(VLOOKUP(C5,'核心题库'!$B$5:$C$104,2,FALSE),"")</x:f>
      </x:c>
      <x:c r="E5" s="144"/>
      <x:c r="F5" s="144"/>
      <x:c r="G5" s="150"/>
      <x:c r="H5" s="150"/>
      <x:c r="I5" s="150"/>
      <x:c r="J5" s="150"/>
      <x:c r="K5" s="150"/>
      <x:c r="L5" s="150"/>
      <x:c r="M5" s="110"/>
    </x:row>
    <x:row r="6" ht="40" customHeight="1">
      <x:c r="A6" s="223"/>
      <x:c r="B6" s="145"/>
      <x:c r="C6" s="145"/>
      <x:c r="D6" s="145" t="str">
        <x:f>IFERROR(VLOOKUP(C6,'核心题库'!$B$5:$C$104,2,FALSE),"")</x:f>
      </x:c>
      <x:c r="E6" s="145"/>
      <x:c r="F6" s="145"/>
      <x:c r="G6" s="151"/>
      <x:c r="H6" s="151"/>
      <x:c r="I6" s="151"/>
      <x:c r="J6" s="151"/>
      <x:c r="K6" s="151"/>
      <x:c r="L6" s="151"/>
      <x:c r="M6" s="112"/>
    </x:row>
    <x:row r="7" ht="40" customHeight="1">
      <x:c r="A7" s="223"/>
      <x:c r="B7" s="145"/>
      <x:c r="C7" s="145"/>
      <x:c r="D7" s="145" t="str">
        <x:f>IFERROR(VLOOKUP(C7,'核心题库'!$B$5:$C$104,2,FALSE),"")</x:f>
      </x:c>
      <x:c r="E7" s="145"/>
      <x:c r="F7" s="145"/>
      <x:c r="G7" s="151"/>
      <x:c r="H7" s="151"/>
      <x:c r="I7" s="151"/>
      <x:c r="J7" s="151"/>
      <x:c r="K7" s="151"/>
      <x:c r="L7" s="151"/>
      <x:c r="M7" s="112"/>
    </x:row>
    <x:row r="8" ht="40" customHeight="1">
      <x:c r="A8" s="223"/>
      <x:c r="B8" s="145"/>
      <x:c r="C8" s="145"/>
      <x:c r="D8" s="145" t="str">
        <x:f>IFERROR(VLOOKUP(C8,'核心题库'!$B$5:$C$104,2,FALSE),"")</x:f>
      </x:c>
      <x:c r="E8" s="145"/>
      <x:c r="F8" s="145"/>
      <x:c r="G8" s="151"/>
      <x:c r="H8" s="151"/>
      <x:c r="I8" s="151"/>
      <x:c r="J8" s="151"/>
      <x:c r="K8" s="151"/>
      <x:c r="L8" s="151"/>
      <x:c r="M8" s="112"/>
    </x:row>
    <x:row r="9" ht="40" customHeight="1">
      <x:c r="A9" s="223"/>
      <x:c r="B9" s="145"/>
      <x:c r="C9" s="145"/>
      <x:c r="D9" s="145" t="str">
        <x:f>IFERROR(VLOOKUP(C9,'核心题库'!$B$5:$C$104,2,FALSE),"")</x:f>
      </x:c>
      <x:c r="E9" s="145"/>
      <x:c r="F9" s="145"/>
      <x:c r="G9" s="151"/>
      <x:c r="H9" s="151"/>
      <x:c r="I9" s="151"/>
      <x:c r="J9" s="151"/>
      <x:c r="K9" s="151"/>
      <x:c r="L9" s="151"/>
      <x:c r="M9" s="112"/>
    </x:row>
    <x:row r="10" ht="40" customHeight="1">
      <x:c r="A10" s="223"/>
      <x:c r="B10" s="145"/>
      <x:c r="C10" s="145"/>
      <x:c r="D10" s="145" t="str">
        <x:f>IFERROR(VLOOKUP(C10,'核心题库'!$B$5:$C$104,2,FALSE),"")</x:f>
      </x:c>
      <x:c r="E10" s="145"/>
      <x:c r="F10" s="145"/>
      <x:c r="G10" s="151"/>
      <x:c r="H10" s="151"/>
      <x:c r="I10" s="151"/>
      <x:c r="J10" s="151"/>
      <x:c r="K10" s="151"/>
      <x:c r="L10" s="151"/>
      <x:c r="M10" s="112"/>
    </x:row>
    <x:row r="11" ht="40" customHeight="1">
      <x:c r="A11" s="223"/>
      <x:c r="B11" s="145"/>
      <x:c r="C11" s="145"/>
      <x:c r="D11" s="145" t="str">
        <x:f>IFERROR(VLOOKUP(C11,'核心题库'!$B$5:$C$104,2,FALSE),"")</x:f>
      </x:c>
      <x:c r="E11" s="145"/>
      <x:c r="F11" s="145"/>
      <x:c r="G11" s="151"/>
      <x:c r="H11" s="151"/>
      <x:c r="I11" s="151"/>
      <x:c r="J11" s="151"/>
      <x:c r="K11" s="151"/>
      <x:c r="L11" s="151"/>
      <x:c r="M11" s="112"/>
    </x:row>
    <x:row r="12" ht="40" customHeight="1">
      <x:c r="A12" s="223"/>
      <x:c r="B12" s="145"/>
      <x:c r="C12" s="145"/>
      <x:c r="D12" s="145" t="str">
        <x:f>IFERROR(VLOOKUP(C12,'核心题库'!$B$5:$C$104,2,FALSE),"")</x:f>
      </x:c>
      <x:c r="E12" s="145"/>
      <x:c r="F12" s="145"/>
      <x:c r="G12" s="151"/>
      <x:c r="H12" s="151"/>
      <x:c r="I12" s="151"/>
      <x:c r="J12" s="151"/>
      <x:c r="K12" s="151"/>
      <x:c r="L12" s="151"/>
      <x:c r="M12" s="112"/>
    </x:row>
    <x:row r="13" ht="40" customHeight="1">
      <x:c r="A13" s="223"/>
      <x:c r="B13" s="145"/>
      <x:c r="C13" s="145"/>
      <x:c r="D13" s="145" t="str">
        <x:f>IFERROR(VLOOKUP(C13,'核心题库'!$B$5:$C$104,2,FALSE),"")</x:f>
      </x:c>
      <x:c r="E13" s="145"/>
      <x:c r="F13" s="145"/>
      <x:c r="G13" s="151"/>
      <x:c r="H13" s="151"/>
      <x:c r="I13" s="151"/>
      <x:c r="J13" s="151"/>
      <x:c r="K13" s="151"/>
      <x:c r="L13" s="151"/>
      <x:c r="M13" s="112"/>
    </x:row>
    <x:row r="14" ht="40" customHeight="1">
      <x:c r="A14" s="223"/>
      <x:c r="B14" s="145"/>
      <x:c r="C14" s="145"/>
      <x:c r="D14" s="145" t="str">
        <x:f>IFERROR(VLOOKUP(C14,'核心题库'!$B$5:$C$104,2,FALSE),"")</x:f>
      </x:c>
      <x:c r="E14" s="145"/>
      <x:c r="F14" s="145"/>
      <x:c r="G14" s="151"/>
      <x:c r="H14" s="151"/>
      <x:c r="I14" s="151"/>
      <x:c r="J14" s="151"/>
      <x:c r="K14" s="151"/>
      <x:c r="L14" s="151"/>
      <x:c r="M14" s="112"/>
    </x:row>
    <x:row r="15" ht="40" customHeight="1">
      <x:c r="A15" s="223"/>
      <x:c r="B15" s="145"/>
      <x:c r="C15" s="145"/>
      <x:c r="D15" s="145" t="str">
        <x:f>IFERROR(VLOOKUP(C15,'核心题库'!$B$5:$C$104,2,FALSE),"")</x:f>
      </x:c>
      <x:c r="E15" s="145"/>
      <x:c r="F15" s="145"/>
      <x:c r="G15" s="151"/>
      <x:c r="H15" s="151"/>
      <x:c r="I15" s="151"/>
      <x:c r="J15" s="151"/>
      <x:c r="K15" s="151"/>
      <x:c r="L15" s="151"/>
      <x:c r="M15" s="112"/>
    </x:row>
    <x:row r="16" ht="40" customHeight="1">
      <x:c r="A16" s="223"/>
      <x:c r="B16" s="145"/>
      <x:c r="C16" s="145"/>
      <x:c r="D16" s="145" t="str">
        <x:f>IFERROR(VLOOKUP(C16,'核心题库'!$B$5:$C$104,2,FALSE),"")</x:f>
      </x:c>
      <x:c r="E16" s="145"/>
      <x:c r="F16" s="145"/>
      <x:c r="G16" s="151"/>
      <x:c r="H16" s="151"/>
      <x:c r="I16" s="151"/>
      <x:c r="J16" s="151"/>
      <x:c r="K16" s="151"/>
      <x:c r="L16" s="151"/>
      <x:c r="M16" s="112"/>
    </x:row>
    <x:row r="17" ht="40" customHeight="1">
      <x:c r="A17" s="223"/>
      <x:c r="B17" s="145"/>
      <x:c r="C17" s="145"/>
      <x:c r="D17" s="145" t="str">
        <x:f>IFERROR(VLOOKUP(C17,'核心题库'!$B$5:$C$104,2,FALSE),"")</x:f>
      </x:c>
      <x:c r="E17" s="145"/>
      <x:c r="F17" s="145"/>
      <x:c r="G17" s="151"/>
      <x:c r="H17" s="151"/>
      <x:c r="I17" s="151"/>
      <x:c r="J17" s="151"/>
      <x:c r="K17" s="151"/>
      <x:c r="L17" s="151"/>
      <x:c r="M17" s="112"/>
    </x:row>
    <x:row r="18" ht="40" customHeight="1">
      <x:c r="A18" s="223"/>
      <x:c r="B18" s="145"/>
      <x:c r="C18" s="145"/>
      <x:c r="D18" s="145" t="str">
        <x:f>IFERROR(VLOOKUP(C18,'核心题库'!$B$5:$C$104,2,FALSE),"")</x:f>
      </x:c>
      <x:c r="E18" s="145"/>
      <x:c r="F18" s="145"/>
      <x:c r="G18" s="151"/>
      <x:c r="H18" s="151"/>
      <x:c r="I18" s="151"/>
      <x:c r="J18" s="151"/>
      <x:c r="K18" s="151"/>
      <x:c r="L18" s="151"/>
      <x:c r="M18" s="112"/>
    </x:row>
    <x:row r="19" ht="40" customHeight="1">
      <x:c r="A19" s="223"/>
      <x:c r="B19" s="145"/>
      <x:c r="C19" s="145"/>
      <x:c r="D19" s="145" t="str">
        <x:f>IFERROR(VLOOKUP(C19,'核心题库'!$B$5:$C$104,2,FALSE),"")</x:f>
      </x:c>
      <x:c r="E19" s="145"/>
      <x:c r="F19" s="145"/>
      <x:c r="G19" s="151"/>
      <x:c r="H19" s="151"/>
      <x:c r="I19" s="151"/>
      <x:c r="J19" s="151"/>
      <x:c r="K19" s="151"/>
      <x:c r="L19" s="151"/>
      <x:c r="M19" s="112"/>
    </x:row>
    <x:row r="20" ht="40" customHeight="1">
      <x:c r="A20" s="223"/>
      <x:c r="B20" s="145"/>
      <x:c r="C20" s="145"/>
      <x:c r="D20" s="145" t="str">
        <x:f>IFERROR(VLOOKUP(C20,'核心题库'!$B$5:$C$104,2,FALSE),"")</x:f>
      </x:c>
      <x:c r="E20" s="145"/>
      <x:c r="F20" s="145"/>
      <x:c r="G20" s="151"/>
      <x:c r="H20" s="151"/>
      <x:c r="I20" s="151"/>
      <x:c r="J20" s="151"/>
      <x:c r="K20" s="151"/>
      <x:c r="L20" s="151"/>
      <x:c r="M20" s="112"/>
    </x:row>
    <x:row r="21" ht="40" customHeight="1">
      <x:c r="A21" s="223"/>
      <x:c r="B21" s="145"/>
      <x:c r="C21" s="145"/>
      <x:c r="D21" s="145" t="str">
        <x:f>IFERROR(VLOOKUP(C21,'核心题库'!$B$5:$C$104,2,FALSE),"")</x:f>
      </x:c>
      <x:c r="E21" s="145"/>
      <x:c r="F21" s="145"/>
      <x:c r="G21" s="151"/>
      <x:c r="H21" s="151"/>
      <x:c r="I21" s="151"/>
      <x:c r="J21" s="151"/>
      <x:c r="K21" s="151"/>
      <x:c r="L21" s="151"/>
      <x:c r="M21" s="112"/>
    </x:row>
    <x:row r="22" ht="40" customHeight="1">
      <x:c r="A22" s="223"/>
      <x:c r="B22" s="145"/>
      <x:c r="C22" s="145"/>
      <x:c r="D22" s="145" t="str">
        <x:f>IFERROR(VLOOKUP(C22,'核心题库'!$B$5:$C$104,2,FALSE),"")</x:f>
      </x:c>
      <x:c r="E22" s="145"/>
      <x:c r="F22" s="145"/>
      <x:c r="G22" s="151"/>
      <x:c r="H22" s="151"/>
      <x:c r="I22" s="151"/>
      <x:c r="J22" s="151"/>
      <x:c r="K22" s="151"/>
      <x:c r="L22" s="151"/>
      <x:c r="M22" s="112"/>
    </x:row>
    <x:row r="23" ht="40" customHeight="1">
      <x:c r="A23" s="223"/>
      <x:c r="B23" s="145"/>
      <x:c r="C23" s="145"/>
      <x:c r="D23" s="145" t="str">
        <x:f>IFERROR(VLOOKUP(C23,'核心题库'!$B$5:$C$104,2,FALSE),"")</x:f>
      </x:c>
      <x:c r="E23" s="145"/>
      <x:c r="F23" s="145"/>
      <x:c r="G23" s="151"/>
      <x:c r="H23" s="151"/>
      <x:c r="I23" s="151"/>
      <x:c r="J23" s="151"/>
      <x:c r="K23" s="151"/>
      <x:c r="L23" s="151"/>
      <x:c r="M23" s="112"/>
    </x:row>
    <x:row r="24" ht="40" customHeight="1">
      <x:c r="A24" s="223"/>
      <x:c r="B24" s="145"/>
      <x:c r="C24" s="145"/>
      <x:c r="D24" s="145" t="str">
        <x:f>IFERROR(VLOOKUP(C24,'核心题库'!$B$5:$C$104,2,FALSE),"")</x:f>
      </x:c>
      <x:c r="E24" s="145"/>
      <x:c r="F24" s="145"/>
      <x:c r="G24" s="151"/>
      <x:c r="H24" s="151"/>
      <x:c r="I24" s="151"/>
      <x:c r="J24" s="151"/>
      <x:c r="K24" s="151"/>
      <x:c r="L24" s="151"/>
      <x:c r="M24" s="112"/>
    </x:row>
    <x:row r="25" ht="40" customHeight="1">
      <x:c r="A25" s="223"/>
      <x:c r="B25" s="145"/>
      <x:c r="C25" s="145"/>
      <x:c r="D25" s="145" t="str">
        <x:f>IFERROR(VLOOKUP(C25,'核心题库'!$B$5:$C$104,2,FALSE),"")</x:f>
      </x:c>
      <x:c r="E25" s="145"/>
      <x:c r="F25" s="145"/>
      <x:c r="G25" s="151"/>
      <x:c r="H25" s="151"/>
      <x:c r="I25" s="151"/>
      <x:c r="J25" s="151"/>
      <x:c r="K25" s="151"/>
      <x:c r="L25" s="151"/>
      <x:c r="M25" s="112"/>
    </x:row>
    <x:row r="26" ht="40" customHeight="1">
      <x:c r="A26" s="223"/>
      <x:c r="B26" s="145"/>
      <x:c r="C26" s="145"/>
      <x:c r="D26" s="145" t="str">
        <x:f>IFERROR(VLOOKUP(C26,'核心题库'!$B$5:$C$104,2,FALSE),"")</x:f>
      </x:c>
      <x:c r="E26" s="145"/>
      <x:c r="F26" s="145"/>
      <x:c r="G26" s="151"/>
      <x:c r="H26" s="151"/>
      <x:c r="I26" s="151"/>
      <x:c r="J26" s="151"/>
      <x:c r="K26" s="151"/>
      <x:c r="L26" s="151"/>
      <x:c r="M26" s="112"/>
    </x:row>
    <x:row r="27" ht="40" customHeight="1">
      <x:c r="A27" s="223"/>
      <x:c r="B27" s="145"/>
      <x:c r="C27" s="145"/>
      <x:c r="D27" s="145" t="str">
        <x:f>IFERROR(VLOOKUP(C27,'核心题库'!$B$5:$C$104,2,FALSE),"")</x:f>
      </x:c>
      <x:c r="E27" s="145"/>
      <x:c r="F27" s="145"/>
      <x:c r="G27" s="151"/>
      <x:c r="H27" s="151"/>
      <x:c r="I27" s="151"/>
      <x:c r="J27" s="151"/>
      <x:c r="K27" s="151"/>
      <x:c r="L27" s="151"/>
      <x:c r="M27" s="112"/>
    </x:row>
    <x:row r="28" ht="40" customHeight="1">
      <x:c r="A28" s="223"/>
      <x:c r="B28" s="145"/>
      <x:c r="C28" s="145"/>
      <x:c r="D28" s="145" t="str">
        <x:f>IFERROR(VLOOKUP(C28,'核心题库'!$B$5:$C$104,2,FALSE),"")</x:f>
      </x:c>
      <x:c r="E28" s="145"/>
      <x:c r="F28" s="145"/>
      <x:c r="G28" s="151"/>
      <x:c r="H28" s="151"/>
      <x:c r="I28" s="151"/>
      <x:c r="J28" s="151"/>
      <x:c r="K28" s="151"/>
      <x:c r="L28" s="151"/>
      <x:c r="M28" s="112"/>
    </x:row>
    <x:row r="29" ht="40" customHeight="1">
      <x:c r="A29" s="223"/>
      <x:c r="B29" s="145"/>
      <x:c r="C29" s="145"/>
      <x:c r="D29" s="145" t="str">
        <x:f>IFERROR(VLOOKUP(C29,'核心题库'!$B$5:$C$104,2,FALSE),"")</x:f>
      </x:c>
      <x:c r="E29" s="145"/>
      <x:c r="F29" s="145"/>
      <x:c r="G29" s="151"/>
      <x:c r="H29" s="151"/>
      <x:c r="I29" s="151"/>
      <x:c r="J29" s="151"/>
      <x:c r="K29" s="151"/>
      <x:c r="L29" s="151"/>
      <x:c r="M29" s="112"/>
    </x:row>
    <x:row r="30" ht="40" customHeight="1">
      <x:c r="A30" s="223"/>
      <x:c r="B30" s="145"/>
      <x:c r="C30" s="145"/>
      <x:c r="D30" s="145" t="str">
        <x:f>IFERROR(VLOOKUP(C30,'核心题库'!$B$5:$C$104,2,FALSE),"")</x:f>
      </x:c>
      <x:c r="E30" s="145"/>
      <x:c r="F30" s="145"/>
      <x:c r="G30" s="151"/>
      <x:c r="H30" s="151"/>
      <x:c r="I30" s="151"/>
      <x:c r="J30" s="151"/>
      <x:c r="K30" s="151"/>
      <x:c r="L30" s="151"/>
      <x:c r="M30" s="112"/>
    </x:row>
    <x:row r="31" ht="40" customHeight="1">
      <x:c r="A31" s="223"/>
      <x:c r="B31" s="145"/>
      <x:c r="C31" s="145"/>
      <x:c r="D31" s="145" t="str">
        <x:f>IFERROR(VLOOKUP(C31,'核心题库'!$B$5:$C$104,2,FALSE),"")</x:f>
      </x:c>
      <x:c r="E31" s="145"/>
      <x:c r="F31" s="145"/>
      <x:c r="G31" s="151"/>
      <x:c r="H31" s="151"/>
      <x:c r="I31" s="151"/>
      <x:c r="J31" s="151"/>
      <x:c r="K31" s="151"/>
      <x:c r="L31" s="151"/>
      <x:c r="M31" s="112"/>
    </x:row>
    <x:row r="32" ht="40" customHeight="1">
      <x:c r="A32" s="223"/>
      <x:c r="B32" s="145"/>
      <x:c r="C32" s="145"/>
      <x:c r="D32" s="145" t="str">
        <x:f>IFERROR(VLOOKUP(C32,'核心题库'!$B$5:$C$104,2,FALSE),"")</x:f>
      </x:c>
      <x:c r="E32" s="145"/>
      <x:c r="F32" s="145"/>
      <x:c r="G32" s="151"/>
      <x:c r="H32" s="151"/>
      <x:c r="I32" s="151"/>
      <x:c r="J32" s="151"/>
      <x:c r="K32" s="151"/>
      <x:c r="L32" s="151"/>
      <x:c r="M32" s="112"/>
    </x:row>
    <x:row r="33" ht="40" customHeight="1">
      <x:c r="A33" s="223"/>
      <x:c r="B33" s="145"/>
      <x:c r="C33" s="145"/>
      <x:c r="D33" s="145" t="str">
        <x:f>IFERROR(VLOOKUP(C33,'核心题库'!$B$5:$C$104,2,FALSE),"")</x:f>
      </x:c>
      <x:c r="E33" s="145"/>
      <x:c r="F33" s="145"/>
      <x:c r="G33" s="151"/>
      <x:c r="H33" s="151"/>
      <x:c r="I33" s="151"/>
      <x:c r="J33" s="151"/>
      <x:c r="K33" s="151"/>
      <x:c r="L33" s="151"/>
      <x:c r="M33" s="112"/>
    </x:row>
    <x:row r="34" ht="40" customHeight="1">
      <x:c r="A34" s="223"/>
      <x:c r="B34" s="145"/>
      <x:c r="C34" s="145"/>
      <x:c r="D34" s="145" t="str">
        <x:f>IFERROR(VLOOKUP(C34,'核心题库'!$B$5:$C$104,2,FALSE),"")</x:f>
      </x:c>
      <x:c r="E34" s="145"/>
      <x:c r="F34" s="145"/>
      <x:c r="G34" s="151"/>
      <x:c r="H34" s="151"/>
      <x:c r="I34" s="151"/>
      <x:c r="J34" s="151"/>
      <x:c r="K34" s="151"/>
      <x:c r="L34" s="151"/>
      <x:c r="M34" s="112"/>
    </x:row>
    <x:row r="35" ht="40" customHeight="1">
      <x:c r="A35" s="223"/>
      <x:c r="B35" s="145"/>
      <x:c r="C35" s="145"/>
      <x:c r="D35" s="145" t="str">
        <x:f>IFERROR(VLOOKUP(C35,'核心题库'!$B$5:$C$104,2,FALSE),"")</x:f>
      </x:c>
      <x:c r="E35" s="145"/>
      <x:c r="F35" s="145"/>
      <x:c r="G35" s="151"/>
      <x:c r="H35" s="151"/>
      <x:c r="I35" s="151"/>
      <x:c r="J35" s="151"/>
      <x:c r="K35" s="151"/>
      <x:c r="L35" s="151"/>
      <x:c r="M35" s="112"/>
    </x:row>
    <x:row r="36" ht="40" customHeight="1">
      <x:c r="A36" s="223"/>
      <x:c r="B36" s="145"/>
      <x:c r="C36" s="145"/>
      <x:c r="D36" s="145" t="str">
        <x:f>IFERROR(VLOOKUP(C36,'核心题库'!$B$5:$C$104,2,FALSE),"")</x:f>
      </x:c>
      <x:c r="E36" s="145"/>
      <x:c r="F36" s="145"/>
      <x:c r="G36" s="151"/>
      <x:c r="H36" s="151"/>
      <x:c r="I36" s="151"/>
      <x:c r="J36" s="151"/>
      <x:c r="K36" s="151"/>
      <x:c r="L36" s="151"/>
      <x:c r="M36" s="112"/>
    </x:row>
    <x:row r="37" ht="40" customHeight="1">
      <x:c r="A37" s="223"/>
      <x:c r="B37" s="145"/>
      <x:c r="C37" s="145"/>
      <x:c r="D37" s="145" t="str">
        <x:f>IFERROR(VLOOKUP(C37,'核心题库'!$B$5:$C$104,2,FALSE),"")</x:f>
      </x:c>
      <x:c r="E37" s="145"/>
      <x:c r="F37" s="145"/>
      <x:c r="G37" s="151"/>
      <x:c r="H37" s="151"/>
      <x:c r="I37" s="151"/>
      <x:c r="J37" s="151"/>
      <x:c r="K37" s="151"/>
      <x:c r="L37" s="151"/>
      <x:c r="M37" s="112"/>
    </x:row>
    <x:row r="38" ht="40" customHeight="1">
      <x:c r="A38" s="223"/>
      <x:c r="B38" s="145"/>
      <x:c r="C38" s="145"/>
      <x:c r="D38" s="145" t="str">
        <x:f>IFERROR(VLOOKUP(C38,'核心题库'!$B$5:$C$104,2,FALSE),"")</x:f>
      </x:c>
      <x:c r="E38" s="145"/>
      <x:c r="F38" s="145"/>
      <x:c r="G38" s="151"/>
      <x:c r="H38" s="151"/>
      <x:c r="I38" s="151"/>
      <x:c r="J38" s="151"/>
      <x:c r="K38" s="151"/>
      <x:c r="L38" s="151"/>
      <x:c r="M38" s="112"/>
    </x:row>
    <x:row r="39" ht="40" customHeight="1">
      <x:c r="A39" s="223"/>
      <x:c r="B39" s="145"/>
      <x:c r="C39" s="145"/>
      <x:c r="D39" s="145" t="str">
        <x:f>IFERROR(VLOOKUP(C39,'核心题库'!$B$5:$C$104,2,FALSE),"")</x:f>
      </x:c>
      <x:c r="E39" s="145"/>
      <x:c r="F39" s="145"/>
      <x:c r="G39" s="151"/>
      <x:c r="H39" s="151"/>
      <x:c r="I39" s="151"/>
      <x:c r="J39" s="151"/>
      <x:c r="K39" s="151"/>
      <x:c r="L39" s="151"/>
      <x:c r="M39" s="112"/>
    </x:row>
    <x:row r="40" ht="40" customHeight="1">
      <x:c r="A40" s="223"/>
      <x:c r="B40" s="145"/>
      <x:c r="C40" s="145"/>
      <x:c r="D40" s="145" t="str">
        <x:f>IFERROR(VLOOKUP(C40,'核心题库'!$B$5:$C$104,2,FALSE),"")</x:f>
      </x:c>
      <x:c r="E40" s="145"/>
      <x:c r="F40" s="145"/>
      <x:c r="G40" s="151"/>
      <x:c r="H40" s="151"/>
      <x:c r="I40" s="151"/>
      <x:c r="J40" s="151"/>
      <x:c r="K40" s="151"/>
      <x:c r="L40" s="151"/>
      <x:c r="M40" s="112"/>
    </x:row>
    <x:row r="41" ht="40" customHeight="1">
      <x:c r="A41" s="223"/>
      <x:c r="B41" s="145"/>
      <x:c r="C41" s="145"/>
      <x:c r="D41" s="145" t="str">
        <x:f>IFERROR(VLOOKUP(C41,'核心题库'!$B$5:$C$104,2,FALSE),"")</x:f>
      </x:c>
      <x:c r="E41" s="145"/>
      <x:c r="F41" s="145"/>
      <x:c r="G41" s="151"/>
      <x:c r="H41" s="151"/>
      <x:c r="I41" s="151"/>
      <x:c r="J41" s="151"/>
      <x:c r="K41" s="151"/>
      <x:c r="L41" s="151"/>
      <x:c r="M41" s="112"/>
    </x:row>
    <x:row r="42" ht="40" customHeight="1">
      <x:c r="A42" s="223"/>
      <x:c r="B42" s="145"/>
      <x:c r="C42" s="145"/>
      <x:c r="D42" s="145" t="str">
        <x:f>IFERROR(VLOOKUP(C42,'核心题库'!$B$5:$C$104,2,FALSE),"")</x:f>
      </x:c>
      <x:c r="E42" s="145"/>
      <x:c r="F42" s="145"/>
      <x:c r="G42" s="151"/>
      <x:c r="H42" s="151"/>
      <x:c r="I42" s="151"/>
      <x:c r="J42" s="151"/>
      <x:c r="K42" s="151"/>
      <x:c r="L42" s="151"/>
      <x:c r="M42" s="112"/>
    </x:row>
    <x:row r="43" ht="40" customHeight="1">
      <x:c r="A43" s="223"/>
      <x:c r="B43" s="145"/>
      <x:c r="C43" s="145"/>
      <x:c r="D43" s="145" t="str">
        <x:f>IFERROR(VLOOKUP(C43,'核心题库'!$B$5:$C$104,2,FALSE),"")</x:f>
      </x:c>
      <x:c r="E43" s="145"/>
      <x:c r="F43" s="145"/>
      <x:c r="G43" s="151"/>
      <x:c r="H43" s="151"/>
      <x:c r="I43" s="151"/>
      <x:c r="J43" s="151"/>
      <x:c r="K43" s="151"/>
      <x:c r="L43" s="151"/>
      <x:c r="M43" s="112"/>
    </x:row>
    <x:row r="44" ht="40" customHeight="1">
      <x:c r="A44" s="223"/>
      <x:c r="B44" s="145"/>
      <x:c r="C44" s="145"/>
      <x:c r="D44" s="145" t="str">
        <x:f>IFERROR(VLOOKUP(C44,'核心题库'!$B$5:$C$104,2,FALSE),"")</x:f>
      </x:c>
      <x:c r="E44" s="145"/>
      <x:c r="F44" s="145"/>
      <x:c r="G44" s="151"/>
      <x:c r="H44" s="151"/>
      <x:c r="I44" s="151"/>
      <x:c r="J44" s="151"/>
      <x:c r="K44" s="151"/>
      <x:c r="L44" s="151"/>
      <x:c r="M44" s="112"/>
    </x:row>
    <x:row r="45" ht="40" customHeight="1">
      <x:c r="A45" s="223"/>
      <x:c r="B45" s="145"/>
      <x:c r="C45" s="145"/>
      <x:c r="D45" s="145" t="str">
        <x:f>IFERROR(VLOOKUP(C45,'核心题库'!$B$5:$C$104,2,FALSE),"")</x:f>
      </x:c>
      <x:c r="E45" s="145"/>
      <x:c r="F45" s="145"/>
      <x:c r="G45" s="151"/>
      <x:c r="H45" s="151"/>
      <x:c r="I45" s="151"/>
      <x:c r="J45" s="151"/>
      <x:c r="K45" s="151"/>
      <x:c r="L45" s="151"/>
      <x:c r="M45" s="112"/>
    </x:row>
    <x:row r="46" ht="40" customHeight="1">
      <x:c r="A46" s="223"/>
      <x:c r="B46" s="145"/>
      <x:c r="C46" s="145"/>
      <x:c r="D46" s="145" t="str">
        <x:f>IFERROR(VLOOKUP(C46,'核心题库'!$B$5:$C$104,2,FALSE),"")</x:f>
      </x:c>
      <x:c r="E46" s="145"/>
      <x:c r="F46" s="145"/>
      <x:c r="G46" s="151"/>
      <x:c r="H46" s="151"/>
      <x:c r="I46" s="151"/>
      <x:c r="J46" s="151"/>
      <x:c r="K46" s="151"/>
      <x:c r="L46" s="151"/>
      <x:c r="M46" s="112"/>
    </x:row>
    <x:row r="47" ht="40" customHeight="1">
      <x:c r="A47" s="223"/>
      <x:c r="B47" s="145"/>
      <x:c r="C47" s="145"/>
      <x:c r="D47" s="145" t="str">
        <x:f>IFERROR(VLOOKUP(C47,'核心题库'!$B$5:$C$104,2,FALSE),"")</x:f>
      </x:c>
      <x:c r="E47" s="145"/>
      <x:c r="F47" s="145"/>
      <x:c r="G47" s="151"/>
      <x:c r="H47" s="151"/>
      <x:c r="I47" s="151"/>
      <x:c r="J47" s="151"/>
      <x:c r="K47" s="151"/>
      <x:c r="L47" s="151"/>
      <x:c r="M47" s="112"/>
    </x:row>
    <x:row r="48" ht="40" customHeight="1">
      <x:c r="A48" s="223"/>
      <x:c r="B48" s="145"/>
      <x:c r="C48" s="145"/>
      <x:c r="D48" s="145" t="str">
        <x:f>IFERROR(VLOOKUP(C48,'核心题库'!$B$5:$C$104,2,FALSE),"")</x:f>
      </x:c>
      <x:c r="E48" s="145"/>
      <x:c r="F48" s="145"/>
      <x:c r="G48" s="151"/>
      <x:c r="H48" s="151"/>
      <x:c r="I48" s="151"/>
      <x:c r="J48" s="151"/>
      <x:c r="K48" s="151"/>
      <x:c r="L48" s="151"/>
      <x:c r="M48" s="112"/>
    </x:row>
    <x:row r="49" ht="40" customHeight="1">
      <x:c r="A49" s="223"/>
      <x:c r="B49" s="145"/>
      <x:c r="C49" s="145"/>
      <x:c r="D49" s="145" t="str">
        <x:f>IFERROR(VLOOKUP(C49,'核心题库'!$B$5:$C$104,2,FALSE),"")</x:f>
      </x:c>
      <x:c r="E49" s="145"/>
      <x:c r="F49" s="145"/>
      <x:c r="G49" s="151"/>
      <x:c r="H49" s="151"/>
      <x:c r="I49" s="151"/>
      <x:c r="J49" s="151"/>
      <x:c r="K49" s="151"/>
      <x:c r="L49" s="151"/>
      <x:c r="M49" s="112"/>
    </x:row>
    <x:row r="50" ht="40" customHeight="1">
      <x:c r="A50" s="223"/>
      <x:c r="B50" s="145"/>
      <x:c r="C50" s="145"/>
      <x:c r="D50" s="145" t="str">
        <x:f>IFERROR(VLOOKUP(C50,'核心题库'!$B$5:$C$104,2,FALSE),"")</x:f>
      </x:c>
      <x:c r="E50" s="145"/>
      <x:c r="F50" s="145"/>
      <x:c r="G50" s="151"/>
      <x:c r="H50" s="151"/>
      <x:c r="I50" s="151"/>
      <x:c r="J50" s="151"/>
      <x:c r="K50" s="151"/>
      <x:c r="L50" s="151"/>
      <x:c r="M50" s="112"/>
    </x:row>
    <x:row r="51" ht="40" customHeight="1">
      <x:c r="A51" s="223"/>
      <x:c r="B51" s="145"/>
      <x:c r="C51" s="145"/>
      <x:c r="D51" s="145" t="str">
        <x:f>IFERROR(VLOOKUP(C51,'核心题库'!$B$5:$C$104,2,FALSE),"")</x:f>
      </x:c>
      <x:c r="E51" s="145"/>
      <x:c r="F51" s="145"/>
      <x:c r="G51" s="151"/>
      <x:c r="H51" s="151"/>
      <x:c r="I51" s="151"/>
      <x:c r="J51" s="151"/>
      <x:c r="K51" s="151"/>
      <x:c r="L51" s="151"/>
      <x:c r="M51" s="112"/>
    </x:row>
    <x:row r="52" ht="40" customHeight="1">
      <x:c r="A52" s="223"/>
      <x:c r="B52" s="145"/>
      <x:c r="C52" s="145"/>
      <x:c r="D52" s="145" t="str">
        <x:f>IFERROR(VLOOKUP(C52,'核心题库'!$B$5:$C$104,2,FALSE),"")</x:f>
      </x:c>
      <x:c r="E52" s="145"/>
      <x:c r="F52" s="145"/>
      <x:c r="G52" s="151"/>
      <x:c r="H52" s="151"/>
      <x:c r="I52" s="151"/>
      <x:c r="J52" s="151"/>
      <x:c r="K52" s="151"/>
      <x:c r="L52" s="151"/>
      <x:c r="M52" s="112"/>
    </x:row>
    <x:row r="53" ht="40" customHeight="1">
      <x:c r="A53" s="223"/>
      <x:c r="B53" s="145"/>
      <x:c r="C53" s="145"/>
      <x:c r="D53" s="145" t="str">
        <x:f>IFERROR(VLOOKUP(C53,'核心题库'!$B$5:$C$104,2,FALSE),"")</x:f>
      </x:c>
      <x:c r="E53" s="145"/>
      <x:c r="F53" s="145"/>
      <x:c r="G53" s="151"/>
      <x:c r="H53" s="151"/>
      <x:c r="I53" s="151"/>
      <x:c r="J53" s="151"/>
      <x:c r="K53" s="151"/>
      <x:c r="L53" s="151"/>
      <x:c r="M53" s="112"/>
    </x:row>
    <x:row r="54" ht="40" customHeight="1">
      <x:c r="A54" s="223"/>
      <x:c r="B54" s="145"/>
      <x:c r="C54" s="145"/>
      <x:c r="D54" s="145" t="str">
        <x:f>IFERROR(VLOOKUP(C54,'核心题库'!$B$5:$C$104,2,FALSE),"")</x:f>
      </x:c>
      <x:c r="E54" s="145"/>
      <x:c r="F54" s="145"/>
      <x:c r="G54" s="151"/>
      <x:c r="H54" s="151"/>
      <x:c r="I54" s="151"/>
      <x:c r="J54" s="151"/>
      <x:c r="K54" s="151"/>
      <x:c r="L54" s="151"/>
      <x:c r="M54" s="112"/>
    </x:row>
    <x:row r="55" ht="40" customHeight="1">
      <x:c r="A55" s="223"/>
      <x:c r="B55" s="145"/>
      <x:c r="C55" s="145"/>
      <x:c r="D55" s="145" t="str">
        <x:f>IFERROR(VLOOKUP(C55,'核心题库'!$B$5:$C$104,2,FALSE),"")</x:f>
      </x:c>
      <x:c r="E55" s="145"/>
      <x:c r="F55" s="145"/>
      <x:c r="G55" s="151"/>
      <x:c r="H55" s="151"/>
      <x:c r="I55" s="151"/>
      <x:c r="J55" s="151"/>
      <x:c r="K55" s="151"/>
      <x:c r="L55" s="151"/>
      <x:c r="M55" s="112"/>
    </x:row>
    <x:row r="56" ht="40" customHeight="1">
      <x:c r="A56" s="223"/>
      <x:c r="B56" s="145"/>
      <x:c r="C56" s="145"/>
      <x:c r="D56" s="145" t="str">
        <x:f>IFERROR(VLOOKUP(C56,'核心题库'!$B$5:$C$104,2,FALSE),"")</x:f>
      </x:c>
      <x:c r="E56" s="145"/>
      <x:c r="F56" s="145"/>
      <x:c r="G56" s="151"/>
      <x:c r="H56" s="151"/>
      <x:c r="I56" s="151"/>
      <x:c r="J56" s="151"/>
      <x:c r="K56" s="151"/>
      <x:c r="L56" s="151"/>
      <x:c r="M56" s="112"/>
    </x:row>
    <x:row r="57" ht="40" customHeight="1">
      <x:c r="A57" s="223"/>
      <x:c r="B57" s="145"/>
      <x:c r="C57" s="145"/>
      <x:c r="D57" s="145" t="str">
        <x:f>IFERROR(VLOOKUP(C57,'核心题库'!$B$5:$C$104,2,FALSE),"")</x:f>
      </x:c>
      <x:c r="E57" s="145"/>
      <x:c r="F57" s="145"/>
      <x:c r="G57" s="151"/>
      <x:c r="H57" s="151"/>
      <x:c r="I57" s="151"/>
      <x:c r="J57" s="151"/>
      <x:c r="K57" s="151"/>
      <x:c r="L57" s="151"/>
      <x:c r="M57" s="112"/>
    </x:row>
    <x:row r="58" ht="40" customHeight="1">
      <x:c r="A58" s="223"/>
      <x:c r="B58" s="145"/>
      <x:c r="C58" s="145"/>
      <x:c r="D58" s="145" t="str">
        <x:f>IFERROR(VLOOKUP(C58,'核心题库'!$B$5:$C$104,2,FALSE),"")</x:f>
      </x:c>
      <x:c r="E58" s="145"/>
      <x:c r="F58" s="145"/>
      <x:c r="G58" s="151"/>
      <x:c r="H58" s="151"/>
      <x:c r="I58" s="151"/>
      <x:c r="J58" s="151"/>
      <x:c r="K58" s="151"/>
      <x:c r="L58" s="151"/>
      <x:c r="M58" s="112"/>
    </x:row>
    <x:row r="59" ht="40" customHeight="1">
      <x:c r="A59" s="223"/>
      <x:c r="B59" s="145"/>
      <x:c r="C59" s="145"/>
      <x:c r="D59" s="145" t="str">
        <x:f>IFERROR(VLOOKUP(C59,'核心题库'!$B$5:$C$104,2,FALSE),"")</x:f>
      </x:c>
      <x:c r="E59" s="145"/>
      <x:c r="F59" s="145"/>
      <x:c r="G59" s="151"/>
      <x:c r="H59" s="151"/>
      <x:c r="I59" s="151"/>
      <x:c r="J59" s="151"/>
      <x:c r="K59" s="151"/>
      <x:c r="L59" s="151"/>
      <x:c r="M59" s="112"/>
    </x:row>
    <x:row r="60" ht="40" customHeight="1">
      <x:c r="A60" s="223"/>
      <x:c r="B60" s="145"/>
      <x:c r="C60" s="145"/>
      <x:c r="D60" s="145" t="str">
        <x:f>IFERROR(VLOOKUP(C60,'核心题库'!$B$5:$C$104,2,FALSE),"")</x:f>
      </x:c>
      <x:c r="E60" s="145"/>
      <x:c r="F60" s="145"/>
      <x:c r="G60" s="151"/>
      <x:c r="H60" s="151"/>
      <x:c r="I60" s="151"/>
      <x:c r="J60" s="151"/>
      <x:c r="K60" s="151"/>
      <x:c r="L60" s="151"/>
      <x:c r="M60" s="112"/>
    </x:row>
    <x:row r="61" ht="40" customHeight="1">
      <x:c r="A61" s="223"/>
      <x:c r="B61" s="145"/>
      <x:c r="C61" s="145"/>
      <x:c r="D61" s="145" t="str">
        <x:f>IFERROR(VLOOKUP(C61,'核心题库'!$B$5:$C$104,2,FALSE),"")</x:f>
      </x:c>
      <x:c r="E61" s="145"/>
      <x:c r="F61" s="145"/>
      <x:c r="G61" s="151"/>
      <x:c r="H61" s="151"/>
      <x:c r="I61" s="151"/>
      <x:c r="J61" s="151"/>
      <x:c r="K61" s="151"/>
      <x:c r="L61" s="151"/>
      <x:c r="M61" s="112"/>
    </x:row>
    <x:row r="62" ht="40" customHeight="1">
      <x:c r="A62" s="223"/>
      <x:c r="B62" s="145"/>
      <x:c r="C62" s="145"/>
      <x:c r="D62" s="145" t="str">
        <x:f>IFERROR(VLOOKUP(C62,'核心题库'!$B$5:$C$104,2,FALSE),"")</x:f>
      </x:c>
      <x:c r="E62" s="145"/>
      <x:c r="F62" s="145"/>
      <x:c r="G62" s="151"/>
      <x:c r="H62" s="151"/>
      <x:c r="I62" s="151"/>
      <x:c r="J62" s="151"/>
      <x:c r="K62" s="151"/>
      <x:c r="L62" s="151"/>
      <x:c r="M62" s="112"/>
    </x:row>
    <x:row r="63" ht="40" customHeight="1">
      <x:c r="A63" s="223"/>
      <x:c r="B63" s="145"/>
      <x:c r="C63" s="145"/>
      <x:c r="D63" s="145" t="str">
        <x:f>IFERROR(VLOOKUP(C63,'核心题库'!$B$5:$C$104,2,FALSE),"")</x:f>
      </x:c>
      <x:c r="E63" s="145"/>
      <x:c r="F63" s="145"/>
      <x:c r="G63" s="151"/>
      <x:c r="H63" s="151"/>
      <x:c r="I63" s="151"/>
      <x:c r="J63" s="151"/>
      <x:c r="K63" s="151"/>
      <x:c r="L63" s="151"/>
      <x:c r="M63" s="112"/>
    </x:row>
    <x:row r="64" ht="40" customHeight="1">
      <x:c r="A64" s="223"/>
      <x:c r="B64" s="145"/>
      <x:c r="C64" s="145"/>
      <x:c r="D64" s="145" t="str">
        <x:f>IFERROR(VLOOKUP(C64,'核心题库'!$B$5:$C$104,2,FALSE),"")</x:f>
      </x:c>
      <x:c r="E64" s="145"/>
      <x:c r="F64" s="145"/>
      <x:c r="G64" s="151"/>
      <x:c r="H64" s="151"/>
      <x:c r="I64" s="151"/>
      <x:c r="J64" s="151"/>
      <x:c r="K64" s="151"/>
      <x:c r="L64" s="151"/>
      <x:c r="M64" s="112"/>
    </x:row>
    <x:row r="65" ht="40" customHeight="1">
      <x:c r="A65" s="223"/>
      <x:c r="B65" s="145"/>
      <x:c r="C65" s="145"/>
      <x:c r="D65" s="145" t="str">
        <x:f>IFERROR(VLOOKUP(C65,'核心题库'!$B$5:$C$104,2,FALSE),"")</x:f>
      </x:c>
      <x:c r="E65" s="145"/>
      <x:c r="F65" s="145"/>
      <x:c r="G65" s="151"/>
      <x:c r="H65" s="151"/>
      <x:c r="I65" s="151"/>
      <x:c r="J65" s="151"/>
      <x:c r="K65" s="151"/>
      <x:c r="L65" s="151"/>
      <x:c r="M65" s="112"/>
    </x:row>
    <x:row r="66" ht="40" customHeight="1">
      <x:c r="A66" s="223"/>
      <x:c r="B66" s="145"/>
      <x:c r="C66" s="145"/>
      <x:c r="D66" s="145" t="str">
        <x:f>IFERROR(VLOOKUP(C66,'核心题库'!$B$5:$C$104,2,FALSE),"")</x:f>
      </x:c>
      <x:c r="E66" s="145"/>
      <x:c r="F66" s="145"/>
      <x:c r="G66" s="151"/>
      <x:c r="H66" s="151"/>
      <x:c r="I66" s="151"/>
      <x:c r="J66" s="151"/>
      <x:c r="K66" s="151"/>
      <x:c r="L66" s="151"/>
      <x:c r="M66" s="112"/>
    </x:row>
    <x:row r="67" ht="40" customHeight="1">
      <x:c r="A67" s="223"/>
      <x:c r="B67" s="145"/>
      <x:c r="C67" s="145"/>
      <x:c r="D67" s="145" t="str">
        <x:f>IFERROR(VLOOKUP(C67,'核心题库'!$B$5:$C$104,2,FALSE),"")</x:f>
      </x:c>
      <x:c r="E67" s="145"/>
      <x:c r="F67" s="145"/>
      <x:c r="G67" s="151"/>
      <x:c r="H67" s="151"/>
      <x:c r="I67" s="151"/>
      <x:c r="J67" s="151"/>
      <x:c r="K67" s="151"/>
      <x:c r="L67" s="151"/>
      <x:c r="M67" s="112"/>
    </x:row>
    <x:row r="68" ht="40" customHeight="1">
      <x:c r="A68" s="223"/>
      <x:c r="B68" s="145"/>
      <x:c r="C68" s="145"/>
      <x:c r="D68" s="145" t="str">
        <x:f>IFERROR(VLOOKUP(C68,'核心题库'!$B$5:$C$104,2,FALSE),"")</x:f>
      </x:c>
      <x:c r="E68" s="145"/>
      <x:c r="F68" s="145"/>
      <x:c r="G68" s="151"/>
      <x:c r="H68" s="151"/>
      <x:c r="I68" s="151"/>
      <x:c r="J68" s="151"/>
      <x:c r="K68" s="151"/>
      <x:c r="L68" s="151"/>
      <x:c r="M68" s="112"/>
    </x:row>
    <x:row r="69" ht="40" customHeight="1">
      <x:c r="A69" s="223"/>
      <x:c r="B69" s="145"/>
      <x:c r="C69" s="145"/>
      <x:c r="D69" s="145" t="str">
        <x:f>IFERROR(VLOOKUP(C69,'核心题库'!$B$5:$C$104,2,FALSE),"")</x:f>
      </x:c>
      <x:c r="E69" s="145"/>
      <x:c r="F69" s="145"/>
      <x:c r="G69" s="151"/>
      <x:c r="H69" s="151"/>
      <x:c r="I69" s="151"/>
      <x:c r="J69" s="151"/>
      <x:c r="K69" s="151"/>
      <x:c r="L69" s="151"/>
      <x:c r="M69" s="112"/>
    </x:row>
    <x:row r="70" ht="40" customHeight="1">
      <x:c r="A70" s="223"/>
      <x:c r="B70" s="145"/>
      <x:c r="C70" s="145"/>
      <x:c r="D70" s="145" t="str">
        <x:f>IFERROR(VLOOKUP(C70,'核心题库'!$B$5:$C$104,2,FALSE),"")</x:f>
      </x:c>
      <x:c r="E70" s="145"/>
      <x:c r="F70" s="145"/>
      <x:c r="G70" s="151"/>
      <x:c r="H70" s="151"/>
      <x:c r="I70" s="151"/>
      <x:c r="J70" s="151"/>
      <x:c r="K70" s="151"/>
      <x:c r="L70" s="151"/>
      <x:c r="M70" s="112"/>
    </x:row>
    <x:row r="71" ht="40" customHeight="1">
      <x:c r="A71" s="223"/>
      <x:c r="B71" s="145"/>
      <x:c r="C71" s="145"/>
      <x:c r="D71" s="145" t="str">
        <x:f>IFERROR(VLOOKUP(C71,'核心题库'!$B$5:$C$104,2,FALSE),"")</x:f>
      </x:c>
      <x:c r="E71" s="145"/>
      <x:c r="F71" s="145"/>
      <x:c r="G71" s="151"/>
      <x:c r="H71" s="151"/>
      <x:c r="I71" s="151"/>
      <x:c r="J71" s="151"/>
      <x:c r="K71" s="151"/>
      <x:c r="L71" s="151"/>
      <x:c r="M71" s="112"/>
    </x:row>
    <x:row r="72" ht="40" customHeight="1">
      <x:c r="A72" s="223"/>
      <x:c r="B72" s="145"/>
      <x:c r="C72" s="145"/>
      <x:c r="D72" s="145" t="str">
        <x:f>IFERROR(VLOOKUP(C72,'核心题库'!$B$5:$C$104,2,FALSE),"")</x:f>
      </x:c>
      <x:c r="E72" s="145"/>
      <x:c r="F72" s="145"/>
      <x:c r="G72" s="151"/>
      <x:c r="H72" s="151"/>
      <x:c r="I72" s="151"/>
      <x:c r="J72" s="151"/>
      <x:c r="K72" s="151"/>
      <x:c r="L72" s="151"/>
      <x:c r="M72" s="112"/>
    </x:row>
    <x:row r="73" ht="40" customHeight="1">
      <x:c r="A73" s="223"/>
      <x:c r="B73" s="145"/>
      <x:c r="C73" s="145"/>
      <x:c r="D73" s="145" t="str">
        <x:f>IFERROR(VLOOKUP(C73,'核心题库'!$B$5:$C$104,2,FALSE),"")</x:f>
      </x:c>
      <x:c r="E73" s="145"/>
      <x:c r="F73" s="145"/>
      <x:c r="G73" s="151"/>
      <x:c r="H73" s="151"/>
      <x:c r="I73" s="151"/>
      <x:c r="J73" s="151"/>
      <x:c r="K73" s="151"/>
      <x:c r="L73" s="151"/>
      <x:c r="M73" s="112"/>
    </x:row>
    <x:row r="74" ht="40" customHeight="1">
      <x:c r="A74" s="223"/>
      <x:c r="B74" s="145"/>
      <x:c r="C74" s="145"/>
      <x:c r="D74" s="145" t="str">
        <x:f>IFERROR(VLOOKUP(C74,'核心题库'!$B$5:$C$104,2,FALSE),"")</x:f>
      </x:c>
      <x:c r="E74" s="145"/>
      <x:c r="F74" s="145"/>
      <x:c r="G74" s="151"/>
      <x:c r="H74" s="151"/>
      <x:c r="I74" s="151"/>
      <x:c r="J74" s="151"/>
      <x:c r="K74" s="151"/>
      <x:c r="L74" s="151"/>
      <x:c r="M74" s="112"/>
    </x:row>
    <x:row r="75" ht="40" customHeight="1">
      <x:c r="A75" s="223"/>
      <x:c r="B75" s="145"/>
      <x:c r="C75" s="145"/>
      <x:c r="D75" s="145" t="str">
        <x:f>IFERROR(VLOOKUP(C75,'核心题库'!$B$5:$C$104,2,FALSE),"")</x:f>
      </x:c>
      <x:c r="E75" s="145"/>
      <x:c r="F75" s="145"/>
      <x:c r="G75" s="151"/>
      <x:c r="H75" s="151"/>
      <x:c r="I75" s="151"/>
      <x:c r="J75" s="151"/>
      <x:c r="K75" s="151"/>
      <x:c r="L75" s="151"/>
      <x:c r="M75" s="112"/>
    </x:row>
    <x:row r="76" ht="40" customHeight="1">
      <x:c r="A76" s="223"/>
      <x:c r="B76" s="145"/>
      <x:c r="C76" s="145"/>
      <x:c r="D76" s="145" t="str">
        <x:f>IFERROR(VLOOKUP(C76,'核心题库'!$B$5:$C$104,2,FALSE),"")</x:f>
      </x:c>
      <x:c r="E76" s="145"/>
      <x:c r="F76" s="145"/>
      <x:c r="G76" s="151"/>
      <x:c r="H76" s="151"/>
      <x:c r="I76" s="151"/>
      <x:c r="J76" s="151"/>
      <x:c r="K76" s="151"/>
      <x:c r="L76" s="151"/>
      <x:c r="M76" s="112"/>
    </x:row>
    <x:row r="77" ht="40" customHeight="1">
      <x:c r="A77" s="223"/>
      <x:c r="B77" s="145"/>
      <x:c r="C77" s="145"/>
      <x:c r="D77" s="145" t="str">
        <x:f>IFERROR(VLOOKUP(C77,'核心题库'!$B$5:$C$104,2,FALSE),"")</x:f>
      </x:c>
      <x:c r="E77" s="145"/>
      <x:c r="F77" s="145"/>
      <x:c r="G77" s="151"/>
      <x:c r="H77" s="151"/>
      <x:c r="I77" s="151"/>
      <x:c r="J77" s="151"/>
      <x:c r="K77" s="151"/>
      <x:c r="L77" s="151"/>
      <x:c r="M77" s="112"/>
    </x:row>
    <x:row r="78" ht="40" customHeight="1">
      <x:c r="A78" s="223"/>
      <x:c r="B78" s="145"/>
      <x:c r="C78" s="145"/>
      <x:c r="D78" s="145" t="str">
        <x:f>IFERROR(VLOOKUP(C78,'核心题库'!$B$5:$C$104,2,FALSE),"")</x:f>
      </x:c>
      <x:c r="E78" s="145"/>
      <x:c r="F78" s="145"/>
      <x:c r="G78" s="151"/>
      <x:c r="H78" s="151"/>
      <x:c r="I78" s="151"/>
      <x:c r="J78" s="151"/>
      <x:c r="K78" s="151"/>
      <x:c r="L78" s="151"/>
      <x:c r="M78" s="112"/>
    </x:row>
    <x:row r="79" ht="40" customHeight="1">
      <x:c r="A79" s="223"/>
      <x:c r="B79" s="145"/>
      <x:c r="C79" s="145"/>
      <x:c r="D79" s="145" t="str">
        <x:f>IFERROR(VLOOKUP(C79,'核心题库'!$B$5:$C$104,2,FALSE),"")</x:f>
      </x:c>
      <x:c r="E79" s="145"/>
      <x:c r="F79" s="145"/>
      <x:c r="G79" s="151"/>
      <x:c r="H79" s="151"/>
      <x:c r="I79" s="151"/>
      <x:c r="J79" s="151"/>
      <x:c r="K79" s="151"/>
      <x:c r="L79" s="151"/>
      <x:c r="M79" s="112"/>
    </x:row>
    <x:row r="80" ht="40" customHeight="1">
      <x:c r="A80" s="223"/>
      <x:c r="B80" s="145"/>
      <x:c r="C80" s="145"/>
      <x:c r="D80" s="145" t="str">
        <x:f>IFERROR(VLOOKUP(C80,'核心题库'!$B$5:$C$104,2,FALSE),"")</x:f>
      </x:c>
      <x:c r="E80" s="145"/>
      <x:c r="F80" s="145"/>
      <x:c r="G80" s="151"/>
      <x:c r="H80" s="151"/>
      <x:c r="I80" s="151"/>
      <x:c r="J80" s="151"/>
      <x:c r="K80" s="151"/>
      <x:c r="L80" s="151"/>
      <x:c r="M80" s="112"/>
    </x:row>
    <x:row r="81" ht="40" customHeight="1">
      <x:c r="A81" s="223"/>
      <x:c r="B81" s="145"/>
      <x:c r="C81" s="145"/>
      <x:c r="D81" s="145" t="str">
        <x:f>IFERROR(VLOOKUP(C81,'核心题库'!$B$5:$C$104,2,FALSE),"")</x:f>
      </x:c>
      <x:c r="E81" s="145"/>
      <x:c r="F81" s="145"/>
      <x:c r="G81" s="151"/>
      <x:c r="H81" s="151"/>
      <x:c r="I81" s="151"/>
      <x:c r="J81" s="151"/>
      <x:c r="K81" s="151"/>
      <x:c r="L81" s="151"/>
      <x:c r="M81" s="112"/>
    </x:row>
    <x:row r="82" ht="40" customHeight="1">
      <x:c r="A82" s="223"/>
      <x:c r="B82" s="145"/>
      <x:c r="C82" s="145"/>
      <x:c r="D82" s="145" t="str">
        <x:f>IFERROR(VLOOKUP(C82,'核心题库'!$B$5:$C$104,2,FALSE),"")</x:f>
      </x:c>
      <x:c r="E82" s="145"/>
      <x:c r="F82" s="145"/>
      <x:c r="G82" s="151"/>
      <x:c r="H82" s="151"/>
      <x:c r="I82" s="151"/>
      <x:c r="J82" s="151"/>
      <x:c r="K82" s="151"/>
      <x:c r="L82" s="151"/>
      <x:c r="M82" s="112"/>
    </x:row>
    <x:row r="83" ht="40" customHeight="1">
      <x:c r="A83" s="223"/>
      <x:c r="B83" s="145"/>
      <x:c r="C83" s="145"/>
      <x:c r="D83" s="145" t="str">
        <x:f>IFERROR(VLOOKUP(C83,'核心题库'!$B$5:$C$104,2,FALSE),"")</x:f>
      </x:c>
      <x:c r="E83" s="145"/>
      <x:c r="F83" s="145"/>
      <x:c r="G83" s="151"/>
      <x:c r="H83" s="151"/>
      <x:c r="I83" s="151"/>
      <x:c r="J83" s="151"/>
      <x:c r="K83" s="151"/>
      <x:c r="L83" s="151"/>
      <x:c r="M83" s="112"/>
    </x:row>
    <x:row r="84" ht="40" customHeight="1">
      <x:c r="A84" s="223"/>
      <x:c r="B84" s="145"/>
      <x:c r="C84" s="145"/>
      <x:c r="D84" s="145" t="str">
        <x:f>IFERROR(VLOOKUP(C84,'核心题库'!$B$5:$C$104,2,FALSE),"")</x:f>
      </x:c>
      <x:c r="E84" s="145"/>
      <x:c r="F84" s="145"/>
      <x:c r="G84" s="151"/>
      <x:c r="H84" s="151"/>
      <x:c r="I84" s="151"/>
      <x:c r="J84" s="151"/>
      <x:c r="K84" s="151"/>
      <x:c r="L84" s="151"/>
      <x:c r="M84" s="112"/>
    </x:row>
    <x:row r="85" ht="40" customHeight="1">
      <x:c r="A85" s="223"/>
      <x:c r="B85" s="145"/>
      <x:c r="C85" s="145"/>
      <x:c r="D85" s="145" t="str">
        <x:f>IFERROR(VLOOKUP(C85,'核心题库'!$B$5:$C$104,2,FALSE),"")</x:f>
      </x:c>
      <x:c r="E85" s="145"/>
      <x:c r="F85" s="145"/>
      <x:c r="G85" s="151"/>
      <x:c r="H85" s="151"/>
      <x:c r="I85" s="151"/>
      <x:c r="J85" s="151"/>
      <x:c r="K85" s="151"/>
      <x:c r="L85" s="151"/>
      <x:c r="M85" s="112"/>
    </x:row>
    <x:row r="86" ht="40" customHeight="1">
      <x:c r="A86" s="223"/>
      <x:c r="B86" s="145"/>
      <x:c r="C86" s="145"/>
      <x:c r="D86" s="145" t="str">
        <x:f>IFERROR(VLOOKUP(C86,'核心题库'!$B$5:$C$104,2,FALSE),"")</x:f>
      </x:c>
      <x:c r="E86" s="145"/>
      <x:c r="F86" s="145"/>
      <x:c r="G86" s="151"/>
      <x:c r="H86" s="151"/>
      <x:c r="I86" s="151"/>
      <x:c r="J86" s="151"/>
      <x:c r="K86" s="151"/>
      <x:c r="L86" s="151"/>
      <x:c r="M86" s="112"/>
    </x:row>
    <x:row r="87" ht="40" customHeight="1">
      <x:c r="A87" s="223"/>
      <x:c r="B87" s="145"/>
      <x:c r="C87" s="145"/>
      <x:c r="D87" s="145" t="str">
        <x:f>IFERROR(VLOOKUP(C87,'核心题库'!$B$5:$C$104,2,FALSE),"")</x:f>
      </x:c>
      <x:c r="E87" s="145"/>
      <x:c r="F87" s="145"/>
      <x:c r="G87" s="151"/>
      <x:c r="H87" s="151"/>
      <x:c r="I87" s="151"/>
      <x:c r="J87" s="151"/>
      <x:c r="K87" s="151"/>
      <x:c r="L87" s="151"/>
      <x:c r="M87" s="112"/>
    </x:row>
    <x:row r="88" ht="40" customHeight="1">
      <x:c r="A88" s="223"/>
      <x:c r="B88" s="145"/>
      <x:c r="C88" s="145"/>
      <x:c r="D88" s="145" t="str">
        <x:f>IFERROR(VLOOKUP(C88,'核心题库'!$B$5:$C$104,2,FALSE),"")</x:f>
      </x:c>
      <x:c r="E88" s="145"/>
      <x:c r="F88" s="145"/>
      <x:c r="G88" s="151"/>
      <x:c r="H88" s="151"/>
      <x:c r="I88" s="151"/>
      <x:c r="J88" s="151"/>
      <x:c r="K88" s="151"/>
      <x:c r="L88" s="151"/>
      <x:c r="M88" s="112"/>
    </x:row>
    <x:row r="89" ht="40" customHeight="1">
      <x:c r="A89" s="223"/>
      <x:c r="B89" s="145"/>
      <x:c r="C89" s="145"/>
      <x:c r="D89" s="145" t="str">
        <x:f>IFERROR(VLOOKUP(C89,'核心题库'!$B$5:$C$104,2,FALSE),"")</x:f>
      </x:c>
      <x:c r="E89" s="145"/>
      <x:c r="F89" s="145"/>
      <x:c r="G89" s="151"/>
      <x:c r="H89" s="151"/>
      <x:c r="I89" s="151"/>
      <x:c r="J89" s="151"/>
      <x:c r="K89" s="151"/>
      <x:c r="L89" s="151"/>
      <x:c r="M89" s="112"/>
    </x:row>
    <x:row r="90" ht="40" customHeight="1">
      <x:c r="A90" s="223"/>
      <x:c r="B90" s="145"/>
      <x:c r="C90" s="145"/>
      <x:c r="D90" s="145" t="str">
        <x:f>IFERROR(VLOOKUP(C90,'核心题库'!$B$5:$C$104,2,FALSE),"")</x:f>
      </x:c>
      <x:c r="E90" s="145"/>
      <x:c r="F90" s="145"/>
      <x:c r="G90" s="151"/>
      <x:c r="H90" s="151"/>
      <x:c r="I90" s="151"/>
      <x:c r="J90" s="151"/>
      <x:c r="K90" s="151"/>
      <x:c r="L90" s="151"/>
      <x:c r="M90" s="112"/>
    </x:row>
    <x:row r="91" ht="40" customHeight="1">
      <x:c r="A91" s="223"/>
      <x:c r="B91" s="145"/>
      <x:c r="C91" s="145"/>
      <x:c r="D91" s="145" t="str">
        <x:f>IFERROR(VLOOKUP(C91,'核心题库'!$B$5:$C$104,2,FALSE),"")</x:f>
      </x:c>
      <x:c r="E91" s="145"/>
      <x:c r="F91" s="145"/>
      <x:c r="G91" s="151"/>
      <x:c r="H91" s="151"/>
      <x:c r="I91" s="151"/>
      <x:c r="J91" s="151"/>
      <x:c r="K91" s="151"/>
      <x:c r="L91" s="151"/>
      <x:c r="M91" s="112"/>
    </x:row>
    <x:row r="92" ht="40" customHeight="1">
      <x:c r="A92" s="223"/>
      <x:c r="B92" s="145"/>
      <x:c r="C92" s="145"/>
      <x:c r="D92" s="145" t="str">
        <x:f>IFERROR(VLOOKUP(C92,'核心题库'!$B$5:$C$104,2,FALSE),"")</x:f>
      </x:c>
      <x:c r="E92" s="145"/>
      <x:c r="F92" s="145"/>
      <x:c r="G92" s="151"/>
      <x:c r="H92" s="151"/>
      <x:c r="I92" s="151"/>
      <x:c r="J92" s="151"/>
      <x:c r="K92" s="151"/>
      <x:c r="L92" s="151"/>
      <x:c r="M92" s="112"/>
    </x:row>
    <x:row r="93" ht="40" customHeight="1">
      <x:c r="A93" s="223"/>
      <x:c r="B93" s="145"/>
      <x:c r="C93" s="145"/>
      <x:c r="D93" s="145" t="str">
        <x:f>IFERROR(VLOOKUP(C93,'核心题库'!$B$5:$C$104,2,FALSE),"")</x:f>
      </x:c>
      <x:c r="E93" s="145"/>
      <x:c r="F93" s="145"/>
      <x:c r="G93" s="151"/>
      <x:c r="H93" s="151"/>
      <x:c r="I93" s="151"/>
      <x:c r="J93" s="151"/>
      <x:c r="K93" s="151"/>
      <x:c r="L93" s="151"/>
      <x:c r="M93" s="112"/>
    </x:row>
    <x:row r="94" ht="40" customHeight="1">
      <x:c r="A94" s="223"/>
      <x:c r="B94" s="145"/>
      <x:c r="C94" s="145"/>
      <x:c r="D94" s="145" t="str">
        <x:f>IFERROR(VLOOKUP(C94,'核心题库'!$B$5:$C$104,2,FALSE),"")</x:f>
      </x:c>
      <x:c r="E94" s="145"/>
      <x:c r="F94" s="145"/>
      <x:c r="G94" s="151"/>
      <x:c r="H94" s="151"/>
      <x:c r="I94" s="151"/>
      <x:c r="J94" s="151"/>
      <x:c r="K94" s="151"/>
      <x:c r="L94" s="151"/>
      <x:c r="M94" s="112"/>
    </x:row>
    <x:row r="95" ht="40" customHeight="1">
      <x:c r="A95" s="223"/>
      <x:c r="B95" s="145"/>
      <x:c r="C95" s="145"/>
      <x:c r="D95" s="145" t="str">
        <x:f>IFERROR(VLOOKUP(C95,'核心题库'!$B$5:$C$104,2,FALSE),"")</x:f>
      </x:c>
      <x:c r="E95" s="145"/>
      <x:c r="F95" s="145"/>
      <x:c r="G95" s="151"/>
      <x:c r="H95" s="151"/>
      <x:c r="I95" s="151"/>
      <x:c r="J95" s="151"/>
      <x:c r="K95" s="151"/>
      <x:c r="L95" s="151"/>
      <x:c r="M95" s="112"/>
    </x:row>
    <x:row r="96" ht="40" customHeight="1">
      <x:c r="A96" s="223"/>
      <x:c r="B96" s="145"/>
      <x:c r="C96" s="145"/>
      <x:c r="D96" s="145" t="str">
        <x:f>IFERROR(VLOOKUP(C96,'核心题库'!$B$5:$C$104,2,FALSE),"")</x:f>
      </x:c>
      <x:c r="E96" s="145"/>
      <x:c r="F96" s="145"/>
      <x:c r="G96" s="151"/>
      <x:c r="H96" s="151"/>
      <x:c r="I96" s="151"/>
      <x:c r="J96" s="151"/>
      <x:c r="K96" s="151"/>
      <x:c r="L96" s="151"/>
      <x:c r="M96" s="112"/>
    </x:row>
    <x:row r="97" ht="40" customHeight="1">
      <x:c r="A97" s="223"/>
      <x:c r="B97" s="145"/>
      <x:c r="C97" s="145"/>
      <x:c r="D97" s="145" t="str">
        <x:f>IFERROR(VLOOKUP(C97,'核心题库'!$B$5:$C$104,2,FALSE),"")</x:f>
      </x:c>
      <x:c r="E97" s="145"/>
      <x:c r="F97" s="145"/>
      <x:c r="G97" s="151"/>
      <x:c r="H97" s="151"/>
      <x:c r="I97" s="151"/>
      <x:c r="J97" s="151"/>
      <x:c r="K97" s="151"/>
      <x:c r="L97" s="151"/>
      <x:c r="M97" s="112"/>
    </x:row>
    <x:row r="98" ht="40" customHeight="1">
      <x:c r="A98" s="223"/>
      <x:c r="B98" s="145"/>
      <x:c r="C98" s="145"/>
      <x:c r="D98" s="145" t="str">
        <x:f>IFERROR(VLOOKUP(C98,'核心题库'!$B$5:$C$104,2,FALSE),"")</x:f>
      </x:c>
      <x:c r="E98" s="145"/>
      <x:c r="F98" s="145"/>
      <x:c r="G98" s="151"/>
      <x:c r="H98" s="151"/>
      <x:c r="I98" s="151"/>
      <x:c r="J98" s="151"/>
      <x:c r="K98" s="151"/>
      <x:c r="L98" s="151"/>
      <x:c r="M98" s="112"/>
    </x:row>
    <x:row r="99" ht="40" customHeight="1">
      <x:c r="A99" s="223"/>
      <x:c r="B99" s="145"/>
      <x:c r="C99" s="145"/>
      <x:c r="D99" s="145" t="str">
        <x:f>IFERROR(VLOOKUP(C99,'核心题库'!$B$5:$C$104,2,FALSE),"")</x:f>
      </x:c>
      <x:c r="E99" s="145"/>
      <x:c r="F99" s="145"/>
      <x:c r="G99" s="151"/>
      <x:c r="H99" s="151"/>
      <x:c r="I99" s="151"/>
      <x:c r="J99" s="151"/>
      <x:c r="K99" s="151"/>
      <x:c r="L99" s="151"/>
      <x:c r="M99" s="112"/>
    </x:row>
    <x:row r="100" ht="40" customHeight="1">
      <x:c r="A100" s="223"/>
      <x:c r="B100" s="145"/>
      <x:c r="C100" s="145"/>
      <x:c r="D100" s="145" t="str">
        <x:f>IFERROR(VLOOKUP(C100,'核心题库'!$B$5:$C$104,2,FALSE),"")</x:f>
      </x:c>
      <x:c r="E100" s="145"/>
      <x:c r="F100" s="145"/>
      <x:c r="G100" s="151"/>
      <x:c r="H100" s="151"/>
      <x:c r="I100" s="151"/>
      <x:c r="J100" s="151"/>
      <x:c r="K100" s="151"/>
      <x:c r="L100" s="151"/>
      <x:c r="M100" s="112"/>
    </x:row>
    <x:row r="101" ht="40" customHeight="1">
      <x:c r="A101" s="223"/>
      <x:c r="B101" s="145"/>
      <x:c r="C101" s="145"/>
      <x:c r="D101" s="145" t="str">
        <x:f>IFERROR(VLOOKUP(C101,'核心题库'!$B$5:$C$104,2,FALSE),"")</x:f>
      </x:c>
      <x:c r="E101" s="145"/>
      <x:c r="F101" s="145"/>
      <x:c r="G101" s="151"/>
      <x:c r="H101" s="151"/>
      <x:c r="I101" s="151"/>
      <x:c r="J101" s="151"/>
      <x:c r="K101" s="151"/>
      <x:c r="L101" s="151"/>
      <x:c r="M101" s="112"/>
    </x:row>
    <x:row r="102" ht="40" customHeight="1">
      <x:c r="A102" s="223"/>
      <x:c r="B102" s="145"/>
      <x:c r="C102" s="145"/>
      <x:c r="D102" s="145" t="str">
        <x:f>IFERROR(VLOOKUP(C102,'核心题库'!$B$5:$C$104,2,FALSE),"")</x:f>
      </x:c>
      <x:c r="E102" s="145"/>
      <x:c r="F102" s="145"/>
      <x:c r="G102" s="151"/>
      <x:c r="H102" s="151"/>
      <x:c r="I102" s="151"/>
      <x:c r="J102" s="151"/>
      <x:c r="K102" s="151"/>
      <x:c r="L102" s="151"/>
      <x:c r="M102" s="112"/>
    </x:row>
    <x:row r="103" ht="40" customHeight="1">
      <x:c r="A103" s="223"/>
      <x:c r="B103" s="145"/>
      <x:c r="C103" s="145"/>
      <x:c r="D103" s="145" t="str">
        <x:f>IFERROR(VLOOKUP(C103,'核心题库'!$B$5:$C$104,2,FALSE),"")</x:f>
      </x:c>
      <x:c r="E103" s="145"/>
      <x:c r="F103" s="145"/>
      <x:c r="G103" s="151"/>
      <x:c r="H103" s="151"/>
      <x:c r="I103" s="151"/>
      <x:c r="J103" s="151"/>
      <x:c r="K103" s="151"/>
      <x:c r="L103" s="151"/>
      <x:c r="M103" s="112"/>
    </x:row>
    <x:row r="104" ht="40" customHeight="1">
      <x:c r="A104" s="224"/>
      <x:c r="B104" s="146"/>
      <x:c r="C104" s="146"/>
      <x:c r="D104" s="146" t="str">
        <x:f>IFERROR(VLOOKUP(C104,'核心题库'!$B$5:$C$104,2,FALSE),"")</x:f>
      </x:c>
      <x:c r="E104" s="146"/>
      <x:c r="F104" s="146"/>
      <x:c r="G104" s="152"/>
      <x:c r="H104" s="152"/>
      <x:c r="I104" s="152"/>
      <x:c r="J104" s="152"/>
      <x:c r="K104" s="152"/>
      <x:c r="L104" s="152"/>
      <x:c r="M104" s="113"/>
    </x:row>
  </x:sheetData>
  <x:mergeCells>
    <x:mergeCell ref="A1:M1"/>
    <x:mergeCell ref="A2:M2"/>
  </x:mergeCells>
  <x:conditionalFormatting sqref="E5:E104">
    <x:cfRule type="cellIs" dxfId="20" priority="1" operator="lessThanOrEqual">
      <x:formula>1</x:formula>
    </x:cfRule>
    <x:cfRule type="cellIs" dxfId="21" priority="2" operator="equal">
      <x:formula>2</x:formula>
    </x:cfRule>
    <x:cfRule type="cellIs" dxfId="22" priority="3" operator="equal">
      <x:formula>3</x:formula>
    </x:cfRule>
  </x:conditionalFormatting>
  <x:conditionalFormatting sqref="L5:L104">
    <x:cfRule type="expression" dxfId="23" priority="4">
      <x:formula>L5="已修复"</x:formula>
    </x:cfRule>
    <x:cfRule type="expression" dxfId="24" priority="5">
      <x:formula>L5="修复中"</x:formula>
    </x:cfRule>
    <x:cfRule type="expression" dxfId="25" priority="6">
      <x:formula>L5="未修复"</x:formula>
    </x:cfRule>
  </x:conditionalFormatting>
  <x:dataValidations count="3">
    <x:dataValidation type="list" sqref="E5:E104">
      <x:formula1>"0,1,2,3"</x:formula1>
    </x:dataValidation>
    <x:dataValidation type="list" sqref="F5:F104">
      <x:formula1>"读题,模式识别,边界,复杂度,实现,数据结构接口,调试,超时"</x:formula1>
    </x:dataValidation>
    <x:dataValidation type="list" sqref="L5:L104">
      <x:formula1>"未修复,修复中,已修复"</x:formula1>
    </x:dataValidation>
  </x:dataValidations>
  <x:pageMargins left="0.7" right="0.7" top="0.75" bottom="0.75" header="0.3" footer="0.3"/>
  <x:tableParts count="1">
    <x:tablePart xmlns:r="http://schemas.openxmlformats.org/officeDocument/2006/relationships" r:id="R6d6065e3af244935"/>
  </x:tableParts>
</x:worksheet>
</file>